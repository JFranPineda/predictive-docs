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F2B4557-82BD-478B-8D6E-6275C7CC8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8" i="1"/>
  <c r="C54" i="1"/>
  <c r="J51" i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</calcChain>
</file>

<file path=xl/sharedStrings.xml><?xml version="1.0" encoding="utf-8"?>
<sst xmlns="http://schemas.openxmlformats.org/spreadsheetml/2006/main" count="258" uniqueCount="96">
  <si>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</si>
  <si>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</si>
  <si>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</si>
  <si>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</si>
  <si>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</si>
  <si>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</si>
  <si>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</si>
  <si>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</si>
  <si>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</si>
  <si>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</si>
  <si>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</si>
  <si>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</si>
  <si>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</si>
  <si>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</si>
  <si>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</si>
  <si>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</si>
  <si>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</si>
  <si>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</si>
  <si>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</si>
  <si>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</si>
  <si>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</si>
  <si>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</si>
  <si>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</si>
  <si>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</si>
  <si>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</si>
  <si>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</si>
  <si>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</si>
  <si>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</si>
  <si>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</si>
  <si>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</si>
  <si>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</si>
  <si>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</si>
  <si>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</si>
  <si>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</si>
  <si>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</si>
  <si>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</si>
  <si>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</si>
  <si>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</si>
  <si>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</si>
  <si>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</si>
  <si>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</si>
  <si>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</si>
  <si>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</si>
  <si>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</si>
  <si>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</si>
  <si>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</si>
  <si>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</si>
  <si>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</si>
  <si>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</si>
  <si>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</si>
  <si>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</si>
  <si>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</si>
  <si>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</si>
  <si>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</si>
  <si>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</si>
  <si>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</si>
  <si>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</si>
  <si>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</si>
  <si>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</si>
  <si>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</si>
  <si>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</si>
  <si>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</si>
  <si>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</si>
  <si>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</si>
  <si>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</si>
  <si>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</si>
  <si>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</si>
  <si>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</si>
  <si>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</si>
  <si>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</si>
  <si>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</si>
  <si>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</si>
  <si>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</si>
  <si>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</si>
  <si>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</si>
  <si>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</si>
  <si>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</si>
  <si>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</si>
  <si>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</si>
  <si>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</si>
  <si>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</si>
  <si>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SIN ANTECEDENTES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</si>
  <si>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</si>
  <si>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</si>
  <si>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</si>
  <si>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HV-5</t>
  </si>
  <si>
    <t>EE-5</t>
  </si>
  <si>
    <t>VV-5</t>
  </si>
  <si>
    <t>AV-5</t>
  </si>
  <si>
    <t>AGOSTO</t>
  </si>
  <si>
    <t>REPORTE DE INSPECCIÓN PREDICTIVA
ANALISIS VIBRACIONAL
REPORTE Nº 030</t>
  </si>
  <si>
    <t>PULPER 01</t>
  </si>
  <si>
    <t>SETIEMBRE</t>
  </si>
  <si>
    <t>SIN ACCESO</t>
  </si>
  <si>
    <t xml:space="preserve">Sin acceso al conjunto rotorico. </t>
  </si>
  <si>
    <t>Se deberá continuar con el monitoreo periodico.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</si>
</sst>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rgb="FFFF0000"/>
      </patternFill>
    </fill>
    <fill>
      <patternFill patternType="solid">
        <fgColor theme="2" tint="-0.249977111117893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61"/>
  </cellStyleXfs>
  <cellXfs count="2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2" fontId="8" fillId="0" borderId="49" xfId="0" applyNumberFormat="1" applyFont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164" fontId="6" fillId="0" borderId="77" xfId="0" applyNumberFormat="1" applyFont="1" applyBorder="1" applyAlignment="1">
      <alignment horizontal="center" vertical="center" wrapText="1"/>
    </xf>
    <xf numFmtId="0" fontId="2" fillId="0" borderId="80" xfId="0" applyFont="1" applyBorder="1"/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quotePrefix="1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 wrapText="1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44" xfId="0" applyFont="1" applyBorder="1"/>
    <xf numFmtId="0" fontId="4" fillId="0" borderId="57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64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2" borderId="20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6" fillId="8" borderId="38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left" vertical="center" wrapText="1"/>
    </xf>
    <xf numFmtId="0" fontId="4" fillId="9" borderId="16" xfId="0" applyFont="1" applyFill="1" applyBorder="1"/>
    <xf numFmtId="0" fontId="4" fillId="9" borderId="17" xfId="0" applyFont="1" applyFill="1" applyBorder="1"/>
  </cellXfs>
  <cellStyles count="2">
    <cellStyle name="Normal" xfId="0" builtinId="0"/>
    <cellStyle name="Normal 2" xfId="1" xr:uid="{4C3539AC-ED83-4C06-BB9B-6BD5AA29ECC4}"/>
  </cellStyles>
  <dxfs count="22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1.78518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0.295099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0.69833999999999996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0.97781300000000004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1.4635149999999999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0.36291099999999998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1.1733979999999999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1.0339670000000001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7.4400310000000003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2.5511949999999999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6.0247349999999997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3.585315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VIBRACIONES!$H$39:$P$39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VIBRACIONES!$H$40:$P$40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VIBRACIONES!$H$41:$P$41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VIBRACIONES!$H$42:$P$42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DC-4130-BEB0-E389AE485297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5" name="image4.png">
          <a:extLst>
            <a:ext uri="{FF2B5EF4-FFF2-40B4-BE49-F238E27FC236}">
              <a16:creationId xmlns:a16="http://schemas.microsoft.com/office/drawing/2014/main" id="{8FCAF3BB-CDCF-3907-E2A1-5B50D38885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3100644-C690-F329-2669-84499F7E68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D94E742-B9B8-CA2D-67F8-62B714DCFB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20631884-AA9C-AFDD-3B8A-A80E861E6C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93248F86-A78A-1AC8-C293-892CDBC2DC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E9C2A236-1B02-D13B-2FE3-EA2F2830DF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D426EF29-9B33-A480-7E9D-6ED8406EBB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-1</xdr:colOff>
      <xdr:row>81</xdr:row>
      <xdr:rowOff>197222</xdr:rowOff>
    </xdr:from>
    <xdr:to>
      <xdr:col>20</xdr:col>
      <xdr:colOff>20611</xdr:colOff>
      <xdr:row>109</xdr:row>
      <xdr:rowOff>85367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DC6D74A-3550-F6B3-4265-0F620561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023" y="18243175"/>
          <a:ext cx="14400000" cy="54104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20</xdr:col>
      <xdr:colOff>20612</xdr:colOff>
      <xdr:row>137</xdr:row>
      <xdr:rowOff>85368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E8FB851-F399-47A5-9611-0ECBCE47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024" y="23765435"/>
          <a:ext cx="14400000" cy="5410404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137</xdr:row>
      <xdr:rowOff>197222</xdr:rowOff>
    </xdr:from>
    <xdr:to>
      <xdr:col>20</xdr:col>
      <xdr:colOff>20611</xdr:colOff>
      <xdr:row>165</xdr:row>
      <xdr:rowOff>85368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550B19-A97F-6763-A3E8-1905BE860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2023" y="29287693"/>
          <a:ext cx="14400000" cy="5410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107372</xdr:colOff>
      <xdr:row>7</xdr:row>
      <xdr:rowOff>24246</xdr:rowOff>
    </xdr:from>
    <xdr:ext cx="3552825" cy="2076450"/>
    <xdr:pic>
      <xdr:nvPicPr>
        <xdr:cNvPr id="8" name="image4.png">
          <a:extLst>
            <a:ext uri="{FF2B5EF4-FFF2-40B4-BE49-F238E27FC236}">
              <a16:creationId xmlns:a16="http://schemas.microsoft.com/office/drawing/2014/main" id="{BF42D71B-9D04-4925-ADC5-3F4237F86E9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57154" y="1381991"/>
          <a:ext cx="3552825" cy="2076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8"/>
  <sheetViews>
    <sheetView showGridLines="0" tabSelected="1" topLeftCell="A5" zoomScale="85" zoomScaleNormal="85" workbookViewId="0">
      <selection activeCell="K24" sqref="K2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4" t="s">
        <v>90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1"/>
      <c r="D4" s="152"/>
      <c r="E4" s="1"/>
      <c r="F4" s="1"/>
      <c r="G4" s="1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3"/>
      <c r="D5" s="154"/>
      <c r="E5" s="1"/>
      <c r="F5" s="1"/>
      <c r="G5" s="1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38"/>
      <c r="E7" s="138"/>
      <c r="F7" s="138"/>
      <c r="G7" s="132"/>
      <c r="H7" s="156" t="s">
        <v>1</v>
      </c>
      <c r="I7" s="138"/>
      <c r="J7" s="138"/>
      <c r="K7" s="132"/>
      <c r="L7" s="157" t="s">
        <v>2</v>
      </c>
      <c r="M7" s="138"/>
      <c r="N7" s="138"/>
      <c r="O7" s="138"/>
      <c r="P7" s="138"/>
      <c r="Q7" s="138"/>
      <c r="R7" s="138"/>
      <c r="S7" s="138"/>
      <c r="T7" s="158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31" t="s">
        <v>3</v>
      </c>
      <c r="D8" s="132"/>
      <c r="E8" s="137" t="s">
        <v>80</v>
      </c>
      <c r="F8" s="135"/>
      <c r="G8" s="136"/>
      <c r="H8" s="159"/>
      <c r="I8" s="160"/>
      <c r="J8" s="160"/>
      <c r="K8" s="161"/>
      <c r="L8" s="165">
        <v>45921</v>
      </c>
      <c r="M8" s="167" t="s">
        <v>79</v>
      </c>
      <c r="N8" s="168"/>
      <c r="O8" s="168"/>
      <c r="P8" s="168"/>
      <c r="Q8" s="168"/>
      <c r="R8" s="168"/>
      <c r="S8" s="168"/>
      <c r="T8" s="16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31" t="s">
        <v>4</v>
      </c>
      <c r="D9" s="132"/>
      <c r="E9" s="137" t="s">
        <v>5</v>
      </c>
      <c r="F9" s="138"/>
      <c r="G9" s="132"/>
      <c r="H9" s="162"/>
      <c r="I9" s="147"/>
      <c r="J9" s="147"/>
      <c r="K9" s="125"/>
      <c r="L9" s="166"/>
      <c r="M9" s="170"/>
      <c r="N9" s="171"/>
      <c r="O9" s="171"/>
      <c r="P9" s="171"/>
      <c r="Q9" s="171"/>
      <c r="R9" s="171"/>
      <c r="S9" s="171"/>
      <c r="T9" s="17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1" t="s">
        <v>6</v>
      </c>
      <c r="D10" s="132"/>
      <c r="E10" s="137" t="s">
        <v>7</v>
      </c>
      <c r="F10" s="138"/>
      <c r="G10" s="132"/>
      <c r="H10" s="162"/>
      <c r="I10" s="147"/>
      <c r="J10" s="147"/>
      <c r="K10" s="125"/>
      <c r="L10" s="173" t="s">
        <v>8</v>
      </c>
      <c r="M10" s="138"/>
      <c r="N10" s="138"/>
      <c r="O10" s="138"/>
      <c r="P10" s="138"/>
      <c r="Q10" s="138"/>
      <c r="R10" s="138"/>
      <c r="S10" s="138"/>
      <c r="T10" s="158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31" t="s">
        <v>9</v>
      </c>
      <c r="D11" s="132"/>
      <c r="E11" s="137"/>
      <c r="F11" s="138"/>
      <c r="G11" s="132"/>
      <c r="H11" s="162"/>
      <c r="I11" s="147"/>
      <c r="J11" s="147"/>
      <c r="K11" s="125"/>
      <c r="L11" s="165">
        <v>45921</v>
      </c>
      <c r="M11" s="174" t="s">
        <v>94</v>
      </c>
      <c r="N11" s="168"/>
      <c r="O11" s="168"/>
      <c r="P11" s="168"/>
      <c r="Q11" s="168"/>
      <c r="R11" s="168"/>
      <c r="S11" s="168"/>
      <c r="T11" s="169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31" t="s">
        <v>10</v>
      </c>
      <c r="D12" s="132"/>
      <c r="E12" s="142" t="s">
        <v>91</v>
      </c>
      <c r="F12" s="138"/>
      <c r="G12" s="132"/>
      <c r="H12" s="162"/>
      <c r="I12" s="147"/>
      <c r="J12" s="147"/>
      <c r="K12" s="125"/>
      <c r="L12" s="166"/>
      <c r="M12" s="170"/>
      <c r="N12" s="171"/>
      <c r="O12" s="171"/>
      <c r="P12" s="171"/>
      <c r="Q12" s="171"/>
      <c r="R12" s="171"/>
      <c r="S12" s="171"/>
      <c r="T12" s="17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1" t="s">
        <v>11</v>
      </c>
      <c r="D13" s="132"/>
      <c r="E13" s="142"/>
      <c r="F13" s="138"/>
      <c r="G13" s="132"/>
      <c r="H13" s="162"/>
      <c r="I13" s="147"/>
      <c r="J13" s="147"/>
      <c r="K13" s="125"/>
      <c r="L13" s="173" t="s">
        <v>12</v>
      </c>
      <c r="M13" s="138"/>
      <c r="N13" s="138"/>
      <c r="O13" s="138"/>
      <c r="P13" s="138"/>
      <c r="Q13" s="138"/>
      <c r="R13" s="138"/>
      <c r="S13" s="138"/>
      <c r="T13" s="158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31" t="s">
        <v>13</v>
      </c>
      <c r="D14" s="132"/>
      <c r="E14" s="225" t="s">
        <v>93</v>
      </c>
      <c r="F14" s="226"/>
      <c r="G14" s="227"/>
      <c r="H14" s="162"/>
      <c r="I14" s="147"/>
      <c r="J14" s="147"/>
      <c r="K14" s="125"/>
      <c r="L14" s="165">
        <v>45921</v>
      </c>
      <c r="M14" s="174" t="s">
        <v>95</v>
      </c>
      <c r="N14" s="175"/>
      <c r="O14" s="175"/>
      <c r="P14" s="175"/>
      <c r="Q14" s="175"/>
      <c r="R14" s="175"/>
      <c r="S14" s="175"/>
      <c r="T14" s="176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3" t="s">
        <v>15</v>
      </c>
      <c r="D15" s="132"/>
      <c r="E15" s="134">
        <v>45921</v>
      </c>
      <c r="F15" s="135"/>
      <c r="G15" s="136"/>
      <c r="H15" s="162"/>
      <c r="I15" s="147"/>
      <c r="J15" s="147"/>
      <c r="K15" s="125"/>
      <c r="L15" s="166"/>
      <c r="M15" s="163"/>
      <c r="N15" s="177"/>
      <c r="O15" s="177"/>
      <c r="P15" s="177"/>
      <c r="Q15" s="177"/>
      <c r="R15" s="177"/>
      <c r="S15" s="177"/>
      <c r="T15" s="17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1" t="s">
        <v>16</v>
      </c>
      <c r="D16" s="132"/>
      <c r="E16" s="134">
        <v>45921</v>
      </c>
      <c r="F16" s="135"/>
      <c r="G16" s="136"/>
      <c r="H16" s="162"/>
      <c r="I16" s="147"/>
      <c r="J16" s="147"/>
      <c r="K16" s="12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1" t="s">
        <v>17</v>
      </c>
      <c r="D17" s="132"/>
      <c r="E17" s="137" t="s">
        <v>18</v>
      </c>
      <c r="F17" s="138"/>
      <c r="G17" s="132"/>
      <c r="H17" s="162"/>
      <c r="I17" s="147"/>
      <c r="J17" s="147"/>
      <c r="K17" s="12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31" t="s">
        <v>19</v>
      </c>
      <c r="D18" s="132"/>
      <c r="E18" s="137" t="s">
        <v>20</v>
      </c>
      <c r="F18" s="138"/>
      <c r="G18" s="132"/>
      <c r="H18" s="163"/>
      <c r="I18" s="149"/>
      <c r="J18" s="149"/>
      <c r="K18" s="16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9" t="s">
        <v>21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2" t="s">
        <v>22</v>
      </c>
      <c r="D20" s="123"/>
      <c r="E20" s="126" t="s">
        <v>23</v>
      </c>
      <c r="F20" s="127"/>
      <c r="G20" s="129" t="s">
        <v>24</v>
      </c>
      <c r="H20" s="99">
        <v>45896</v>
      </c>
      <c r="I20" s="99">
        <v>45921</v>
      </c>
      <c r="J20" s="100"/>
      <c r="K20" s="99"/>
      <c r="L20" s="99"/>
      <c r="M20" s="99"/>
      <c r="N20" s="99"/>
      <c r="O20" s="99"/>
      <c r="P20" s="99"/>
      <c r="Q20" s="99"/>
      <c r="R20" s="99"/>
      <c r="S20" s="99"/>
      <c r="T20" s="101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4"/>
      <c r="D21" s="125"/>
      <c r="E21" s="128"/>
      <c r="F21" s="128"/>
      <c r="G21" s="130"/>
      <c r="H21" s="85" t="s">
        <v>64</v>
      </c>
      <c r="I21" s="224" t="s">
        <v>93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2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3"/>
      <c r="D22" s="104"/>
      <c r="E22" s="105"/>
      <c r="F22" s="105"/>
      <c r="G22" s="106"/>
      <c r="H22" s="107" t="s">
        <v>89</v>
      </c>
      <c r="I22" s="107" t="s">
        <v>92</v>
      </c>
      <c r="J22" s="107"/>
      <c r="K22" s="107"/>
      <c r="L22" s="107"/>
      <c r="M22" s="107"/>
      <c r="N22" s="107"/>
      <c r="O22" s="107"/>
      <c r="P22" s="107"/>
      <c r="Q22" s="108"/>
      <c r="R22" s="108"/>
      <c r="S22" s="108"/>
      <c r="T22" s="109"/>
      <c r="U22" s="1"/>
      <c r="V22" s="1"/>
    </row>
    <row r="23" spans="1:26" ht="21" customHeight="1" x14ac:dyDescent="0.3">
      <c r="A23" s="1"/>
      <c r="B23" s="1"/>
      <c r="C23" s="183" t="s">
        <v>78</v>
      </c>
      <c r="D23" s="140"/>
      <c r="E23" s="187">
        <v>1</v>
      </c>
      <c r="F23" s="111" t="s">
        <v>26</v>
      </c>
      <c r="G23" s="111" t="s">
        <v>27</v>
      </c>
      <c r="H23" s="112">
        <v>1.78518</v>
      </c>
      <c r="I23" s="121"/>
      <c r="J23" s="121"/>
      <c r="K23" s="113"/>
      <c r="L23" s="113"/>
      <c r="M23" s="113"/>
      <c r="N23" s="113"/>
      <c r="O23" s="112"/>
      <c r="P23" s="112"/>
      <c r="Q23" s="112"/>
      <c r="R23" s="112"/>
      <c r="S23" s="112"/>
      <c r="T23" s="114"/>
      <c r="U23" s="1"/>
      <c r="V23" s="1"/>
    </row>
    <row r="24" spans="1:26" ht="21" customHeight="1" x14ac:dyDescent="0.3">
      <c r="A24" s="1"/>
      <c r="B24" s="1"/>
      <c r="C24" s="184"/>
      <c r="D24" s="140"/>
      <c r="E24" s="188"/>
      <c r="F24" s="24" t="s">
        <v>28</v>
      </c>
      <c r="G24" s="24" t="s">
        <v>29</v>
      </c>
      <c r="H24" s="110">
        <v>0.295099</v>
      </c>
      <c r="I24" s="25"/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5"/>
      <c r="U24" s="1"/>
      <c r="V24" s="1"/>
    </row>
    <row r="25" spans="1:26" ht="21" customHeight="1" x14ac:dyDescent="0.3">
      <c r="A25" s="1"/>
      <c r="B25" s="1"/>
      <c r="C25" s="184"/>
      <c r="D25" s="140"/>
      <c r="E25" s="188"/>
      <c r="F25" s="24" t="s">
        <v>26</v>
      </c>
      <c r="G25" s="24" t="s">
        <v>30</v>
      </c>
      <c r="H25" s="25">
        <v>0.69833999999999996</v>
      </c>
      <c r="I25" s="25"/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5"/>
      <c r="U25" s="1"/>
      <c r="V25" s="1"/>
    </row>
    <row r="26" spans="1:26" ht="21" customHeight="1" x14ac:dyDescent="0.3">
      <c r="A26" s="1"/>
      <c r="B26" s="1"/>
      <c r="C26" s="184"/>
      <c r="D26" s="140"/>
      <c r="E26" s="189"/>
      <c r="F26" s="24" t="s">
        <v>26</v>
      </c>
      <c r="G26" s="24" t="s">
        <v>31</v>
      </c>
      <c r="H26" s="25">
        <v>0.97781300000000004</v>
      </c>
      <c r="I26" s="25"/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5"/>
      <c r="U26" s="1"/>
      <c r="V26" s="1"/>
    </row>
    <row r="27" spans="1:26" ht="21" customHeight="1" x14ac:dyDescent="0.3">
      <c r="A27" s="1"/>
      <c r="B27" s="1"/>
      <c r="C27" s="184"/>
      <c r="D27" s="140"/>
      <c r="E27" s="190">
        <v>2</v>
      </c>
      <c r="F27" s="24" t="s">
        <v>26</v>
      </c>
      <c r="G27" s="24" t="s">
        <v>32</v>
      </c>
      <c r="H27" s="25">
        <v>1.4635149999999999</v>
      </c>
      <c r="I27" s="25"/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5"/>
      <c r="U27" s="1"/>
      <c r="V27" s="1"/>
    </row>
    <row r="28" spans="1:26" ht="21" customHeight="1" x14ac:dyDescent="0.3">
      <c r="A28" s="1"/>
      <c r="B28" s="1"/>
      <c r="C28" s="184"/>
      <c r="D28" s="140"/>
      <c r="E28" s="188"/>
      <c r="F28" s="24" t="s">
        <v>28</v>
      </c>
      <c r="G28" s="24" t="s">
        <v>33</v>
      </c>
      <c r="H28" s="110">
        <v>0.36291099999999998</v>
      </c>
      <c r="I28" s="25"/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5"/>
      <c r="U28" s="1"/>
      <c r="V28" s="1"/>
    </row>
    <row r="29" spans="1:26" ht="21" customHeight="1" x14ac:dyDescent="0.3">
      <c r="A29" s="1"/>
      <c r="B29" s="1"/>
      <c r="C29" s="184"/>
      <c r="D29" s="140"/>
      <c r="E29" s="188"/>
      <c r="F29" s="24" t="s">
        <v>26</v>
      </c>
      <c r="G29" s="24" t="s">
        <v>34</v>
      </c>
      <c r="H29" s="25">
        <v>1.1733979999999999</v>
      </c>
      <c r="I29" s="25"/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5"/>
      <c r="U29" s="1"/>
      <c r="V29" s="1"/>
    </row>
    <row r="30" spans="1:26" ht="21" customHeight="1" thickBot="1" x14ac:dyDescent="0.35">
      <c r="A30" s="1"/>
      <c r="B30" s="1"/>
      <c r="C30" s="185"/>
      <c r="D30" s="186"/>
      <c r="E30" s="191"/>
      <c r="F30" s="116" t="s">
        <v>26</v>
      </c>
      <c r="G30" s="116" t="s">
        <v>35</v>
      </c>
      <c r="H30" s="117">
        <v>1.0339670000000001</v>
      </c>
      <c r="I30" s="117"/>
      <c r="J30" s="117"/>
      <c r="K30" s="118"/>
      <c r="L30" s="118"/>
      <c r="M30" s="118"/>
      <c r="N30" s="118"/>
      <c r="O30" s="117"/>
      <c r="P30" s="117"/>
      <c r="Q30" s="117"/>
      <c r="R30" s="117"/>
      <c r="S30" s="117"/>
      <c r="T30" s="120"/>
      <c r="U30" s="1"/>
      <c r="V30" s="1"/>
    </row>
    <row r="31" spans="1:26" ht="21" customHeight="1" x14ac:dyDescent="0.3">
      <c r="A31" s="1"/>
      <c r="B31" s="1"/>
      <c r="C31" s="192" t="s">
        <v>36</v>
      </c>
      <c r="D31" s="145"/>
      <c r="E31" s="187">
        <v>3</v>
      </c>
      <c r="F31" s="111" t="s">
        <v>26</v>
      </c>
      <c r="G31" s="111" t="s">
        <v>37</v>
      </c>
      <c r="H31" s="112">
        <v>7.4400310000000003</v>
      </c>
      <c r="I31" s="112"/>
      <c r="J31" s="112"/>
      <c r="K31" s="113"/>
      <c r="L31" s="113"/>
      <c r="M31" s="113"/>
      <c r="N31" s="113"/>
      <c r="O31" s="112"/>
      <c r="P31" s="112"/>
      <c r="Q31" s="112"/>
      <c r="R31" s="112"/>
      <c r="S31" s="112"/>
      <c r="T31" s="114"/>
      <c r="U31" s="1"/>
      <c r="V31" s="1"/>
    </row>
    <row r="32" spans="1:26" ht="21" customHeight="1" x14ac:dyDescent="0.3">
      <c r="A32" s="1"/>
      <c r="B32" s="1"/>
      <c r="C32" s="184"/>
      <c r="D32" s="140"/>
      <c r="E32" s="188"/>
      <c r="F32" s="24" t="s">
        <v>28</v>
      </c>
      <c r="G32" s="24" t="s">
        <v>38</v>
      </c>
      <c r="H32" s="25">
        <v>2.5511949999999999</v>
      </c>
      <c r="I32" s="25"/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5"/>
      <c r="U32" s="1"/>
      <c r="V32" s="1"/>
    </row>
    <row r="33" spans="1:26" ht="21" customHeight="1" x14ac:dyDescent="0.3">
      <c r="A33" s="1"/>
      <c r="B33" s="1"/>
      <c r="C33" s="184"/>
      <c r="D33" s="140"/>
      <c r="E33" s="188"/>
      <c r="F33" s="24" t="s">
        <v>26</v>
      </c>
      <c r="G33" s="24" t="s">
        <v>39</v>
      </c>
      <c r="H33" s="98">
        <v>6.0247349999999997</v>
      </c>
      <c r="I33" s="25"/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5"/>
      <c r="U33" s="1"/>
      <c r="V33" s="1"/>
    </row>
    <row r="34" spans="1:26" ht="21" customHeight="1" x14ac:dyDescent="0.3">
      <c r="A34" s="1"/>
      <c r="B34" s="1"/>
      <c r="C34" s="184"/>
      <c r="D34" s="140"/>
      <c r="E34" s="189"/>
      <c r="F34" s="24" t="s">
        <v>26</v>
      </c>
      <c r="G34" s="24" t="s">
        <v>40</v>
      </c>
      <c r="H34" s="98">
        <v>3.585315</v>
      </c>
      <c r="I34" s="25"/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5"/>
      <c r="U34" s="1"/>
      <c r="V34" s="1"/>
    </row>
    <row r="35" spans="1:26" ht="21" customHeight="1" x14ac:dyDescent="0.3">
      <c r="A35" s="1"/>
      <c r="B35" s="1"/>
      <c r="C35" s="193"/>
      <c r="D35" s="140"/>
      <c r="E35" s="190">
        <v>4</v>
      </c>
      <c r="F35" s="24" t="s">
        <v>26</v>
      </c>
      <c r="G35" s="24" t="s">
        <v>41</v>
      </c>
      <c r="H35" s="98">
        <v>8.5745559999999994</v>
      </c>
      <c r="I35" s="25"/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5"/>
      <c r="U35" s="1"/>
      <c r="V35" s="1"/>
    </row>
    <row r="36" spans="1:26" ht="21" customHeight="1" x14ac:dyDescent="0.3">
      <c r="A36" s="1"/>
      <c r="B36" s="1"/>
      <c r="C36" s="193"/>
      <c r="D36" s="140"/>
      <c r="E36" s="188"/>
      <c r="F36" s="24" t="s">
        <v>28</v>
      </c>
      <c r="G36" s="24" t="s">
        <v>42</v>
      </c>
      <c r="H36" s="25">
        <v>2.3790710000000002</v>
      </c>
      <c r="I36" s="25"/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5"/>
      <c r="U36" s="1"/>
      <c r="V36" s="1"/>
    </row>
    <row r="37" spans="1:26" ht="21" customHeight="1" x14ac:dyDescent="0.3">
      <c r="A37" s="1"/>
      <c r="B37" s="1"/>
      <c r="C37" s="193"/>
      <c r="D37" s="140"/>
      <c r="E37" s="188"/>
      <c r="F37" s="24" t="s">
        <v>26</v>
      </c>
      <c r="G37" s="24" t="s">
        <v>43</v>
      </c>
      <c r="H37" s="98"/>
      <c r="I37" s="25"/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5"/>
      <c r="U37" s="1"/>
      <c r="V37" s="1"/>
    </row>
    <row r="38" spans="1:26" ht="21" customHeight="1" thickBot="1" x14ac:dyDescent="0.35">
      <c r="A38" s="1"/>
      <c r="B38" s="1"/>
      <c r="C38" s="193"/>
      <c r="D38" s="140"/>
      <c r="E38" s="191"/>
      <c r="F38" s="116" t="s">
        <v>26</v>
      </c>
      <c r="G38" s="116" t="s">
        <v>44</v>
      </c>
      <c r="H38" s="117"/>
      <c r="I38" s="117"/>
      <c r="J38" s="118"/>
      <c r="K38" s="118"/>
      <c r="L38" s="118"/>
      <c r="M38" s="118"/>
      <c r="N38" s="118"/>
      <c r="O38" s="119"/>
      <c r="P38" s="117"/>
      <c r="Q38" s="117"/>
      <c r="R38" s="117"/>
      <c r="S38" s="117"/>
      <c r="T38" s="120"/>
      <c r="U38" s="1"/>
      <c r="V38" s="1"/>
    </row>
    <row r="39" spans="1:26" ht="21" customHeight="1" x14ac:dyDescent="0.3">
      <c r="A39" s="1"/>
      <c r="B39" s="1"/>
      <c r="C39" s="184"/>
      <c r="D39" s="140"/>
      <c r="E39" s="187">
        <v>5</v>
      </c>
      <c r="F39" s="111" t="s">
        <v>26</v>
      </c>
      <c r="G39" s="111" t="s">
        <v>85</v>
      </c>
      <c r="H39" s="112"/>
      <c r="I39" s="112"/>
      <c r="J39" s="112"/>
      <c r="K39" s="113"/>
      <c r="L39" s="113"/>
      <c r="M39" s="113"/>
      <c r="N39" s="113"/>
      <c r="O39" s="112"/>
      <c r="P39" s="112"/>
      <c r="Q39" s="112"/>
      <c r="R39" s="112"/>
      <c r="S39" s="112"/>
      <c r="T39" s="114"/>
      <c r="U39" s="1"/>
      <c r="V39" s="1"/>
    </row>
    <row r="40" spans="1:26" ht="21" customHeight="1" x14ac:dyDescent="0.3">
      <c r="A40" s="1"/>
      <c r="B40" s="1"/>
      <c r="C40" s="184"/>
      <c r="D40" s="140"/>
      <c r="E40" s="188"/>
      <c r="F40" s="24" t="s">
        <v>28</v>
      </c>
      <c r="G40" s="24" t="s">
        <v>86</v>
      </c>
      <c r="H40" s="25"/>
      <c r="I40" s="25"/>
      <c r="J40" s="25"/>
      <c r="K40" s="26"/>
      <c r="L40" s="26"/>
      <c r="M40" s="26"/>
      <c r="N40" s="26"/>
      <c r="O40" s="25"/>
      <c r="P40" s="25"/>
      <c r="Q40" s="25"/>
      <c r="R40" s="25"/>
      <c r="S40" s="25"/>
      <c r="T40" s="115"/>
      <c r="U40" s="1"/>
      <c r="V40" s="1"/>
    </row>
    <row r="41" spans="1:26" ht="21" customHeight="1" x14ac:dyDescent="0.3">
      <c r="A41" s="1"/>
      <c r="B41" s="1"/>
      <c r="C41" s="184"/>
      <c r="D41" s="140"/>
      <c r="E41" s="188"/>
      <c r="F41" s="24" t="s">
        <v>26</v>
      </c>
      <c r="G41" s="24" t="s">
        <v>87</v>
      </c>
      <c r="H41" s="98"/>
      <c r="I41" s="25"/>
      <c r="J41" s="25"/>
      <c r="K41" s="26"/>
      <c r="L41" s="26"/>
      <c r="M41" s="26"/>
      <c r="N41" s="26"/>
      <c r="O41" s="25"/>
      <c r="P41" s="25"/>
      <c r="Q41" s="25"/>
      <c r="R41" s="25"/>
      <c r="S41" s="25"/>
      <c r="T41" s="115"/>
      <c r="U41" s="1"/>
      <c r="V41" s="1"/>
    </row>
    <row r="42" spans="1:26" ht="21" customHeight="1" thickBot="1" x14ac:dyDescent="0.35">
      <c r="A42" s="1"/>
      <c r="B42" s="1"/>
      <c r="C42" s="185"/>
      <c r="D42" s="186"/>
      <c r="E42" s="191"/>
      <c r="F42" s="116" t="s">
        <v>26</v>
      </c>
      <c r="G42" s="116" t="s">
        <v>88</v>
      </c>
      <c r="H42" s="117"/>
      <c r="I42" s="117"/>
      <c r="J42" s="117"/>
      <c r="K42" s="118"/>
      <c r="L42" s="118"/>
      <c r="M42" s="118"/>
      <c r="N42" s="118"/>
      <c r="O42" s="117"/>
      <c r="P42" s="117"/>
      <c r="Q42" s="117"/>
      <c r="R42" s="117"/>
      <c r="S42" s="117"/>
      <c r="T42" s="120"/>
      <c r="U42" s="1"/>
      <c r="V42" s="1"/>
    </row>
    <row r="43" spans="1:26" ht="13.5" customHeight="1" x14ac:dyDescent="0.3">
      <c r="A43" s="32"/>
      <c r="B43" s="32"/>
      <c r="C43" s="33"/>
      <c r="D43" s="34"/>
      <c r="E43" s="35"/>
      <c r="F43" s="35"/>
      <c r="G43" s="36" t="s">
        <v>45</v>
      </c>
      <c r="H43" s="37">
        <v>7.1</v>
      </c>
      <c r="I43" s="37">
        <f t="shared" ref="I43:T43" si="0">H43</f>
        <v>7.1</v>
      </c>
      <c r="J43" s="37">
        <f t="shared" si="0"/>
        <v>7.1</v>
      </c>
      <c r="K43" s="37">
        <f t="shared" si="0"/>
        <v>7.1</v>
      </c>
      <c r="L43" s="37">
        <f t="shared" si="0"/>
        <v>7.1</v>
      </c>
      <c r="M43" s="37">
        <f t="shared" si="0"/>
        <v>7.1</v>
      </c>
      <c r="N43" s="37">
        <f t="shared" si="0"/>
        <v>7.1</v>
      </c>
      <c r="O43" s="37">
        <f t="shared" si="0"/>
        <v>7.1</v>
      </c>
      <c r="P43" s="37">
        <f t="shared" si="0"/>
        <v>7.1</v>
      </c>
      <c r="Q43" s="37">
        <f t="shared" si="0"/>
        <v>7.1</v>
      </c>
      <c r="R43" s="37">
        <f t="shared" si="0"/>
        <v>7.1</v>
      </c>
      <c r="S43" s="37">
        <f t="shared" si="0"/>
        <v>7.1</v>
      </c>
      <c r="T43" s="38">
        <f t="shared" si="0"/>
        <v>7.1</v>
      </c>
      <c r="U43" s="32"/>
      <c r="V43" s="32"/>
      <c r="W43" s="32"/>
      <c r="X43" s="32"/>
      <c r="Y43" s="32"/>
      <c r="Z43" s="32"/>
    </row>
    <row r="44" spans="1:26" ht="12.75" customHeight="1" x14ac:dyDescent="0.3">
      <c r="A44" s="32"/>
      <c r="B44" s="32"/>
      <c r="C44" s="33"/>
      <c r="D44" s="34"/>
      <c r="E44" s="35"/>
      <c r="F44" s="35"/>
      <c r="G44" s="39" t="s">
        <v>46</v>
      </c>
      <c r="H44" s="40">
        <v>4.5</v>
      </c>
      <c r="I44" s="40">
        <f t="shared" ref="I44:T44" si="1">H44</f>
        <v>4.5</v>
      </c>
      <c r="J44" s="40">
        <f t="shared" si="1"/>
        <v>4.5</v>
      </c>
      <c r="K44" s="40">
        <f t="shared" si="1"/>
        <v>4.5</v>
      </c>
      <c r="L44" s="40">
        <f t="shared" si="1"/>
        <v>4.5</v>
      </c>
      <c r="M44" s="40">
        <f t="shared" si="1"/>
        <v>4.5</v>
      </c>
      <c r="N44" s="40">
        <f t="shared" si="1"/>
        <v>4.5</v>
      </c>
      <c r="O44" s="40">
        <f t="shared" si="1"/>
        <v>4.5</v>
      </c>
      <c r="P44" s="40">
        <f t="shared" si="1"/>
        <v>4.5</v>
      </c>
      <c r="Q44" s="40">
        <f t="shared" si="1"/>
        <v>4.5</v>
      </c>
      <c r="R44" s="40">
        <f t="shared" si="1"/>
        <v>4.5</v>
      </c>
      <c r="S44" s="40">
        <f t="shared" si="1"/>
        <v>4.5</v>
      </c>
      <c r="T44" s="41">
        <f t="shared" si="1"/>
        <v>4.5</v>
      </c>
      <c r="U44" s="32"/>
      <c r="V44" s="32"/>
      <c r="W44" s="32"/>
      <c r="X44" s="32"/>
      <c r="Y44" s="32"/>
      <c r="Z44" s="32"/>
    </row>
    <row r="45" spans="1:26" ht="15.9" customHeight="1" x14ac:dyDescent="0.3">
      <c r="A45" s="1"/>
      <c r="B45" s="1"/>
      <c r="C45" s="179" t="s">
        <v>51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58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80" t="s">
        <v>82</v>
      </c>
      <c r="D46" s="160"/>
      <c r="E46" s="160"/>
      <c r="F46" s="160"/>
      <c r="G46" s="160"/>
      <c r="H46" s="161"/>
      <c r="I46" s="44" t="s">
        <v>25</v>
      </c>
      <c r="J46" s="45" t="s">
        <v>46</v>
      </c>
      <c r="K46" s="46" t="s">
        <v>45</v>
      </c>
      <c r="L46" s="182"/>
      <c r="M46" s="125"/>
      <c r="N46" s="47"/>
      <c r="O46" s="48"/>
      <c r="P46" s="48"/>
      <c r="Q46" s="48"/>
      <c r="R46" s="48"/>
      <c r="S46" s="48"/>
      <c r="T46" s="4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81"/>
      <c r="D47" s="149"/>
      <c r="E47" s="149"/>
      <c r="F47" s="149"/>
      <c r="G47" s="149"/>
      <c r="H47" s="164"/>
      <c r="I47" s="50">
        <v>4.5</v>
      </c>
      <c r="J47" s="26" t="s">
        <v>53</v>
      </c>
      <c r="K47" s="50">
        <v>7.1</v>
      </c>
      <c r="L47" s="162"/>
      <c r="M47" s="125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" customHeight="1" x14ac:dyDescent="0.3">
      <c r="A48" s="1"/>
      <c r="B48" s="1"/>
      <c r="C48" s="180" t="s">
        <v>54</v>
      </c>
      <c r="D48" s="160"/>
      <c r="E48" s="160"/>
      <c r="F48" s="160"/>
      <c r="G48" s="160"/>
      <c r="H48" s="161"/>
      <c r="I48" s="52" t="s">
        <v>25</v>
      </c>
      <c r="J48" s="53" t="s">
        <v>46</v>
      </c>
      <c r="K48" s="54" t="s">
        <v>45</v>
      </c>
      <c r="L48" s="162"/>
      <c r="M48" s="125"/>
      <c r="N48" s="51"/>
      <c r="O48" s="1"/>
      <c r="P48" s="1"/>
      <c r="Q48" s="1"/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81"/>
      <c r="D49" s="149"/>
      <c r="E49" s="149"/>
      <c r="F49" s="149"/>
      <c r="G49" s="149"/>
      <c r="H49" s="164"/>
      <c r="I49" s="50">
        <v>5.3</v>
      </c>
      <c r="J49" s="26" t="s">
        <v>55</v>
      </c>
      <c r="K49" s="50">
        <v>8.1</v>
      </c>
      <c r="L49" s="162"/>
      <c r="M49" s="125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80" t="s">
        <v>56</v>
      </c>
      <c r="D50" s="160"/>
      <c r="E50" s="160"/>
      <c r="F50" s="160"/>
      <c r="G50" s="160"/>
      <c r="H50" s="161"/>
      <c r="I50" s="55" t="s">
        <v>25</v>
      </c>
      <c r="J50" s="56" t="s">
        <v>46</v>
      </c>
      <c r="K50" s="57" t="s">
        <v>45</v>
      </c>
      <c r="L50" s="162"/>
      <c r="M50" s="125"/>
      <c r="N50" s="5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81"/>
      <c r="D51" s="149"/>
      <c r="E51" s="149"/>
      <c r="F51" s="149"/>
      <c r="G51" s="149"/>
      <c r="H51" s="164"/>
      <c r="I51" s="50">
        <v>2</v>
      </c>
      <c r="J51" s="26" t="str">
        <f>CONCATENATE(I51," @ ",K51)</f>
        <v>2 @ 2,5</v>
      </c>
      <c r="K51" s="50">
        <v>2.5</v>
      </c>
      <c r="L51" s="163"/>
      <c r="M51" s="164"/>
      <c r="N51" s="58"/>
      <c r="O51" s="59"/>
      <c r="P51" s="59"/>
      <c r="Q51" s="59"/>
      <c r="R51" s="59"/>
      <c r="S51" s="59"/>
      <c r="T51" s="60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179" t="s">
        <v>57</v>
      </c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58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61"/>
      <c r="D53" s="62"/>
      <c r="E53" s="62"/>
      <c r="F53" s="62"/>
      <c r="G53" s="62"/>
      <c r="H53" s="62"/>
      <c r="I53" s="62"/>
      <c r="J53" s="62"/>
      <c r="K53" s="62"/>
      <c r="L53" s="48"/>
      <c r="M53" s="48"/>
      <c r="N53" s="48"/>
      <c r="O53" s="48"/>
      <c r="P53" s="48"/>
      <c r="Q53" s="48"/>
      <c r="R53" s="48"/>
      <c r="S53" s="48"/>
      <c r="T53" s="4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63" t="str">
        <f>C23</f>
        <v>MOTOR</v>
      </c>
      <c r="D54" s="64"/>
      <c r="E54" s="65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6"/>
      <c r="E55" s="66"/>
      <c r="F55" s="66"/>
      <c r="G55" s="66"/>
      <c r="H55" s="67"/>
      <c r="I55" s="67"/>
      <c r="J55" s="67"/>
      <c r="K55" s="67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68"/>
      <c r="E57" s="68"/>
      <c r="F57" s="68"/>
      <c r="G57" s="68"/>
      <c r="H57" s="69"/>
      <c r="I57" s="69"/>
      <c r="J57" s="69"/>
      <c r="K57" s="6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3"/>
      <c r="D63" s="34"/>
      <c r="E63" s="34"/>
      <c r="F63" s="34"/>
      <c r="G63" s="34"/>
      <c r="H63" s="34"/>
      <c r="I63" s="34"/>
      <c r="J63" s="34"/>
      <c r="K63" s="34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4"/>
      <c r="D65" s="5"/>
      <c r="E65" s="5"/>
      <c r="F65" s="5"/>
      <c r="G65" s="5"/>
      <c r="H65" s="5"/>
      <c r="I65" s="5"/>
      <c r="J65" s="5"/>
      <c r="K65" s="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63" t="str">
        <f>C31</f>
        <v>BOMBA</v>
      </c>
      <c r="D68" s="72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0"/>
      <c r="D69" s="71"/>
      <c r="E69" s="71"/>
      <c r="F69" s="71"/>
      <c r="G69" s="71"/>
      <c r="H69" s="71"/>
      <c r="I69" s="71"/>
      <c r="J69" s="71"/>
      <c r="K69" s="7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87"/>
      <c r="U81" s="1"/>
      <c r="V81" s="1"/>
      <c r="W81" s="1"/>
      <c r="X81" s="1"/>
      <c r="Y81" s="1"/>
      <c r="Z81" s="1"/>
    </row>
    <row r="82" spans="1:26" ht="15.9" customHeight="1" thickBot="1" x14ac:dyDescent="0.35">
      <c r="A82" s="1"/>
      <c r="B82" s="1"/>
      <c r="C82" s="74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6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7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86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7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86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7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86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7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86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7"/>
      <c r="U102" s="1"/>
      <c r="V102" s="1"/>
      <c r="W102" s="1"/>
      <c r="X102" s="1"/>
      <c r="Y102" s="1"/>
      <c r="Z102" s="1"/>
    </row>
    <row r="103" spans="1:26" ht="15.9" customHeight="1" thickBot="1" x14ac:dyDescent="0.35">
      <c r="A103" s="1"/>
      <c r="B103" s="1"/>
      <c r="C103" s="94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6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53">
    <mergeCell ref="C23:D30"/>
    <mergeCell ref="E23:E26"/>
    <mergeCell ref="E27:E30"/>
    <mergeCell ref="C31:D42"/>
    <mergeCell ref="E31:E34"/>
    <mergeCell ref="E39:E42"/>
    <mergeCell ref="E35:E38"/>
    <mergeCell ref="C52:T52"/>
    <mergeCell ref="C45:T45"/>
    <mergeCell ref="C46:H47"/>
    <mergeCell ref="L46:M51"/>
    <mergeCell ref="C48:H49"/>
    <mergeCell ref="C50:H51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9" type="noConversion"/>
  <conditionalFormatting sqref="E14:G14">
    <cfRule type="cellIs" dxfId="227" priority="344" stopIfTrue="1" operator="equal">
      <formula>"ALARMA"</formula>
    </cfRule>
    <cfRule type="cellIs" dxfId="226" priority="345" stopIfTrue="1" operator="equal">
      <formula>"PARADDA"</formula>
    </cfRule>
    <cfRule type="cellIs" dxfId="225" priority="346" stopIfTrue="1" operator="equal">
      <formula>"NORMAL"</formula>
    </cfRule>
    <cfRule type="cellIs" dxfId="224" priority="90" stopIfTrue="1" operator="equal">
      <formula>"APAGADO"</formula>
    </cfRule>
  </conditionalFormatting>
  <conditionalFormatting sqref="H38">
    <cfRule type="cellIs" dxfId="223" priority="51" stopIfTrue="1" operator="between">
      <formula>$I$47</formula>
      <formula>$K$47</formula>
    </cfRule>
    <cfRule type="cellIs" dxfId="222" priority="52" stopIfTrue="1" operator="greaterThan">
      <formula>$K$47</formula>
    </cfRule>
  </conditionalFormatting>
  <conditionalFormatting sqref="H28:I28 M40:T40 M28:T28 M24:T24">
    <cfRule type="cellIs" dxfId="221" priority="350" stopIfTrue="1" operator="greaterThan">
      <formula>$K$51</formula>
    </cfRule>
  </conditionalFormatting>
  <conditionalFormatting sqref="H39:I39 H33:J35">
    <cfRule type="colorScale" priority="1195">
      <colorScale>
        <cfvo type="formula" val="$I$49"/>
        <cfvo type="max"/>
        <color rgb="FFFFFF00"/>
        <color rgb="FFFFFF00"/>
      </colorScale>
    </cfRule>
  </conditionalFormatting>
  <conditionalFormatting sqref="H40:I40">
    <cfRule type="cellIs" dxfId="220" priority="891" stopIfTrue="1" operator="lessThan">
      <formula>$I$51</formula>
    </cfRule>
    <cfRule type="cellIs" dxfId="219" priority="890" stopIfTrue="1" operator="between">
      <formula>$I$51</formula>
      <formula>$K$51</formula>
    </cfRule>
    <cfRule type="cellIs" dxfId="218" priority="888" stopIfTrue="1" operator="lessThan">
      <formula>$I$51</formula>
    </cfRule>
    <cfRule type="cellIs" dxfId="217" priority="882" stopIfTrue="1" operator="greaterThan">
      <formula>#REF!</formula>
    </cfRule>
    <cfRule type="cellIs" dxfId="216" priority="889" stopIfTrue="1" operator="greaterThan">
      <formula>$K$51</formula>
    </cfRule>
    <cfRule type="cellIs" dxfId="215" priority="886" stopIfTrue="1" operator="greaterThan">
      <formula>$K$51</formula>
    </cfRule>
    <cfRule type="cellIs" dxfId="214" priority="885" stopIfTrue="1" operator="lessThan">
      <formula>$I$51</formula>
    </cfRule>
    <cfRule type="cellIs" dxfId="213" priority="884" stopIfTrue="1" operator="between">
      <formula>$I$51</formula>
      <formula>$K$51</formula>
    </cfRule>
    <cfRule type="cellIs" dxfId="212" priority="883" stopIfTrue="1" operator="greaterThan">
      <formula>$K$51</formula>
    </cfRule>
    <cfRule type="cellIs" dxfId="211" priority="881" stopIfTrue="1" operator="between">
      <formula>#REF!</formula>
      <formula>#REF!</formula>
    </cfRule>
    <cfRule type="cellIs" dxfId="210" priority="887" stopIfTrue="1" operator="between">
      <formula>$I$51</formula>
      <formula>$K$51</formula>
    </cfRule>
  </conditionalFormatting>
  <conditionalFormatting sqref="H41:I41 H41:H42">
    <cfRule type="colorScale" priority="1196">
      <colorScale>
        <cfvo type="formula" val="$I$49"/>
        <cfvo type="max"/>
        <color rgb="FFFFFF00"/>
        <color rgb="FFFFFF00"/>
      </colorScale>
    </cfRule>
  </conditionalFormatting>
  <conditionalFormatting sqref="H41:I41">
    <cfRule type="cellIs" dxfId="209" priority="895" stopIfTrue="1" operator="between">
      <formula>$I$49</formula>
      <formula>$K$49</formula>
    </cfRule>
    <cfRule type="cellIs" dxfId="208" priority="896" stopIfTrue="1" operator="lessThan">
      <formula>$I$49</formula>
    </cfRule>
    <cfRule type="cellIs" dxfId="207" priority="894" stopIfTrue="1" operator="greaterThan">
      <formula>$K$49</formula>
    </cfRule>
    <cfRule type="cellIs" dxfId="206" priority="897" stopIfTrue="1" operator="between">
      <formula>$I$49</formula>
      <formula>$K$49</formula>
    </cfRule>
    <cfRule type="cellIs" dxfId="205" priority="900" stopIfTrue="1" operator="between">
      <formula>$I$49</formula>
      <formula>$K$49</formula>
    </cfRule>
  </conditionalFormatting>
  <conditionalFormatting sqref="H21:J21">
    <cfRule type="cellIs" dxfId="204" priority="332" stopIfTrue="1" operator="equal">
      <formula>"PARADDA"</formula>
    </cfRule>
    <cfRule type="cellIs" dxfId="203" priority="331" stopIfTrue="1" operator="equal">
      <formula>"ALARMA"</formula>
    </cfRule>
    <cfRule type="cellIs" dxfId="202" priority="333" stopIfTrue="1" operator="equal">
      <formula>"NORMAL"</formula>
    </cfRule>
  </conditionalFormatting>
  <conditionalFormatting sqref="H24:J24 H28:J28 M36:T36 M40:T40">
    <cfRule type="cellIs" dxfId="201" priority="341" stopIfTrue="1" operator="greaterThan">
      <formula>#REF!</formula>
    </cfRule>
    <cfRule type="cellIs" dxfId="200" priority="340" stopIfTrue="1" operator="between">
      <formula>#REF!</formula>
      <formula>#REF!</formula>
    </cfRule>
  </conditionalFormatting>
  <conditionalFormatting sqref="H24:J24">
    <cfRule type="cellIs" dxfId="199" priority="347" stopIfTrue="1" operator="greaterThan">
      <formula>$K$51</formula>
    </cfRule>
    <cfRule type="cellIs" dxfId="198" priority="348" stopIfTrue="1" operator="between">
      <formula>$I$51</formula>
      <formula>$K$51</formula>
    </cfRule>
    <cfRule type="cellIs" dxfId="197" priority="349" stopIfTrue="1" operator="lessThan">
      <formula>$I$51</formula>
    </cfRule>
  </conditionalFormatting>
  <conditionalFormatting sqref="H28:J28">
    <cfRule type="cellIs" dxfId="196" priority="353" stopIfTrue="1" operator="greaterThan">
      <formula>$K$51</formula>
    </cfRule>
    <cfRule type="cellIs" dxfId="195" priority="354" stopIfTrue="1" operator="between">
      <formula>$I$51</formula>
      <formula>$K$51</formula>
    </cfRule>
    <cfRule type="cellIs" dxfId="194" priority="355" stopIfTrue="1" operator="lessThan">
      <formula>$I$51</formula>
    </cfRule>
    <cfRule type="cellIs" dxfId="193" priority="863" stopIfTrue="1" operator="greaterThan">
      <formula>$K$51</formula>
    </cfRule>
    <cfRule type="cellIs" dxfId="192" priority="864" stopIfTrue="1" operator="between">
      <formula>$I$51</formula>
      <formula>$K$51</formula>
    </cfRule>
    <cfRule type="cellIs" dxfId="191" priority="865" stopIfTrue="1" operator="lessThan">
      <formula>$I$51</formula>
    </cfRule>
  </conditionalFormatting>
  <conditionalFormatting sqref="H31:J31 K34:T35 K37:T39 H38 K41:T42 H42">
    <cfRule type="cellIs" dxfId="190" priority="362" stopIfTrue="1" operator="between">
      <formula>$I$49</formula>
      <formula>$K$49</formula>
    </cfRule>
    <cfRule type="cellIs" dxfId="189" priority="357" stopIfTrue="1" operator="between">
      <formula>$I$49</formula>
      <formula>$K$49</formula>
    </cfRule>
    <cfRule type="cellIs" dxfId="188" priority="358" stopIfTrue="1" operator="lessThan">
      <formula>$I$49</formula>
    </cfRule>
  </conditionalFormatting>
  <conditionalFormatting sqref="H31:J31 K34:T35 K37:T39 K41:T42 H38 H42">
    <cfRule type="cellIs" dxfId="187" priority="356" stopIfTrue="1" operator="greaterThan">
      <formula>$K$49</formula>
    </cfRule>
  </conditionalFormatting>
  <conditionalFormatting sqref="H31:J31">
    <cfRule type="cellIs" dxfId="186" priority="359" stopIfTrue="1" operator="between">
      <formula>$I$49</formula>
      <formula>$K$49</formula>
    </cfRule>
    <cfRule type="colorScale" priority="1170">
      <colorScale>
        <cfvo type="formula" val="$I$49"/>
        <cfvo type="max"/>
        <color rgb="FFFFFF00"/>
        <color rgb="FFFFFF00"/>
      </colorScale>
    </cfRule>
  </conditionalFormatting>
  <conditionalFormatting sqref="H32:J32 M32:T32">
    <cfRule type="cellIs" dxfId="185" priority="868" stopIfTrue="1" operator="greaterThan">
      <formula>$K$51</formula>
    </cfRule>
    <cfRule type="cellIs" dxfId="184" priority="867" stopIfTrue="1" operator="greaterThan">
      <formula>#REF!</formula>
    </cfRule>
    <cfRule type="cellIs" dxfId="183" priority="866" stopIfTrue="1" operator="between">
      <formula>#REF!</formula>
      <formula>#REF!</formula>
    </cfRule>
    <cfRule type="cellIs" dxfId="182" priority="870" stopIfTrue="1" operator="lessThan">
      <formula>$I$51</formula>
    </cfRule>
    <cfRule type="cellIs" dxfId="181" priority="869" stopIfTrue="1" operator="between">
      <formula>$I$51</formula>
      <formula>$K$51</formula>
    </cfRule>
  </conditionalFormatting>
  <conditionalFormatting sqref="H33:J35 H39:I39">
    <cfRule type="cellIs" dxfId="180" priority="879" stopIfTrue="1" operator="between">
      <formula>$I$49</formula>
      <formula>$K$49</formula>
    </cfRule>
    <cfRule type="cellIs" dxfId="179" priority="876" stopIfTrue="1" operator="between">
      <formula>$I$49</formula>
      <formula>$K$49</formula>
    </cfRule>
    <cfRule type="cellIs" dxfId="178" priority="875" stopIfTrue="1" operator="lessThan">
      <formula>$I$49</formula>
    </cfRule>
    <cfRule type="cellIs" dxfId="177" priority="874" stopIfTrue="1" operator="between">
      <formula>$I$49</formula>
      <formula>$K$49</formula>
    </cfRule>
    <cfRule type="cellIs" dxfId="176" priority="873" stopIfTrue="1" operator="greaterThan">
      <formula>$K$49</formula>
    </cfRule>
  </conditionalFormatting>
  <conditionalFormatting sqref="H33:J35">
    <cfRule type="cellIs" dxfId="175" priority="872" stopIfTrue="1" operator="greaterThan">
      <formula>$K$47</formula>
    </cfRule>
    <cfRule type="cellIs" dxfId="174" priority="871" stopIfTrue="1" operator="between">
      <formula>$I$47</formula>
      <formula>$K$47</formula>
    </cfRule>
  </conditionalFormatting>
  <conditionalFormatting sqref="H36:J36">
    <cfRule type="cellIs" dxfId="173" priority="78" stopIfTrue="1" operator="lessThan">
      <formula>$I$51</formula>
    </cfRule>
    <cfRule type="cellIs" dxfId="172" priority="76" stopIfTrue="1" operator="greaterThan">
      <formula>$K$51</formula>
    </cfRule>
    <cfRule type="cellIs" dxfId="171" priority="77" stopIfTrue="1" operator="between">
      <formula>$I$51</formula>
      <formula>$K$51</formula>
    </cfRule>
    <cfRule type="cellIs" dxfId="170" priority="81" stopIfTrue="1" operator="lessThan">
      <formula>$I$51</formula>
    </cfRule>
    <cfRule type="cellIs" dxfId="169" priority="80" stopIfTrue="1" operator="between">
      <formula>$I$51</formula>
      <formula>$K$51</formula>
    </cfRule>
    <cfRule type="cellIs" dxfId="168" priority="79" stopIfTrue="1" operator="greaterThan">
      <formula>$K$51</formula>
    </cfRule>
  </conditionalFormatting>
  <conditionalFormatting sqref="H37:J37 H38">
    <cfRule type="colorScale" priority="87">
      <colorScale>
        <cfvo type="formula" val="$I$49"/>
        <cfvo type="max"/>
        <color rgb="FFFFFF00"/>
        <color rgb="FFFFFF00"/>
      </colorScale>
    </cfRule>
  </conditionalFormatting>
  <conditionalFormatting sqref="H37:J37">
    <cfRule type="cellIs" dxfId="167" priority="85" stopIfTrue="1" operator="between">
      <formula>$I$49</formula>
      <formula>$K$49</formula>
    </cfRule>
    <cfRule type="cellIs" dxfId="166" priority="86" stopIfTrue="1" operator="between">
      <formula>$I$49</formula>
      <formula>$K$49</formula>
    </cfRule>
    <cfRule type="cellIs" dxfId="165" priority="84" stopIfTrue="1" operator="lessThan">
      <formula>$I$49</formula>
    </cfRule>
    <cfRule type="cellIs" dxfId="164" priority="83" stopIfTrue="1" operator="between">
      <formula>$I$49</formula>
      <formula>$K$49</formula>
    </cfRule>
    <cfRule type="cellIs" dxfId="163" priority="82" stopIfTrue="1" operator="greaterThan">
      <formula>$K$49</formula>
    </cfRule>
  </conditionalFormatting>
  <conditionalFormatting sqref="H23:K23 H25:J26 H25:H27 K25:T27 I25:I28 J27 H29:T31 K34:T35 H39:T39">
    <cfRule type="cellIs" dxfId="162" priority="343" stopIfTrue="1" operator="greaterThan">
      <formula>$K$47</formula>
    </cfRule>
  </conditionalFormatting>
  <conditionalFormatting sqref="H36:N36">
    <cfRule type="cellIs" dxfId="161" priority="60" stopIfTrue="1" operator="lessThan">
      <formula>$I$51</formula>
    </cfRule>
    <cfRule type="cellIs" dxfId="160" priority="59" stopIfTrue="1" operator="between">
      <formula>$I$51</formula>
      <formula>$K$51</formula>
    </cfRule>
    <cfRule type="cellIs" dxfId="159" priority="58" stopIfTrue="1" operator="greaterThan">
      <formula>$K$51</formula>
    </cfRule>
    <cfRule type="cellIs" dxfId="158" priority="57" stopIfTrue="1" operator="greaterThan">
      <formula>#REF!</formula>
    </cfRule>
    <cfRule type="cellIs" dxfId="157" priority="56" stopIfTrue="1" operator="between">
      <formula>#REF!</formula>
      <formula>#REF!</formula>
    </cfRule>
  </conditionalFormatting>
  <conditionalFormatting sqref="H21:T21">
    <cfRule type="cellIs" dxfId="156" priority="94" stopIfTrue="1" operator="equal">
      <formula>"PARADDA"</formula>
    </cfRule>
    <cfRule type="cellIs" dxfId="155" priority="88" stopIfTrue="1" operator="equal">
      <formula>"APAGADO"</formula>
    </cfRule>
    <cfRule type="cellIs" dxfId="154" priority="95" stopIfTrue="1" operator="equal">
      <formula>"NORMAL"</formula>
    </cfRule>
    <cfRule type="cellIs" dxfId="153" priority="93" stopIfTrue="1" operator="equal">
      <formula>"ALARMA"</formula>
    </cfRule>
  </conditionalFormatting>
  <conditionalFormatting sqref="H37:T38 H41:T42 M23:T23">
    <cfRule type="cellIs" dxfId="152" priority="91" stopIfTrue="1" operator="between">
      <formula>$I$47</formula>
      <formula>$K$47</formula>
    </cfRule>
  </conditionalFormatting>
  <conditionalFormatting sqref="I24:I42">
    <cfRule type="cellIs" dxfId="151" priority="313" stopIfTrue="1" operator="greaterThan">
      <formula>$K$47</formula>
    </cfRule>
    <cfRule type="cellIs" dxfId="150" priority="312" stopIfTrue="1" operator="between">
      <formula>$I$47</formula>
      <formula>$K$47</formula>
    </cfRule>
  </conditionalFormatting>
  <conditionalFormatting sqref="I25:I28 H39:T39 H29:T31 K34:T35 H23:K23 H25:J26 J27 H25:H27 K25:T27">
    <cfRule type="cellIs" dxfId="149" priority="342" stopIfTrue="1" operator="between">
      <formula>$I$47</formula>
      <formula>$K$47</formula>
    </cfRule>
  </conditionalFormatting>
  <conditionalFormatting sqref="I51">
    <cfRule type="cellIs" dxfId="148" priority="339" stopIfTrue="1" operator="between">
      <formula>#REF!</formula>
      <formula>#REF!</formula>
    </cfRule>
  </conditionalFormatting>
  <conditionalFormatting sqref="J21">
    <cfRule type="containsText" dxfId="147" priority="89" operator="containsText" text="APAGADO">
      <formula>NOT(ISERROR(SEARCH("APAGADO",J21)))</formula>
    </cfRule>
  </conditionalFormatting>
  <conditionalFormatting sqref="J23:J38">
    <cfRule type="cellIs" dxfId="146" priority="315" stopIfTrue="1" operator="greaterThan">
      <formula>$K$47</formula>
    </cfRule>
    <cfRule type="cellIs" dxfId="145" priority="314" stopIfTrue="1" operator="between">
      <formula>$I$47</formula>
      <formula>$K$47</formula>
    </cfRule>
  </conditionalFormatting>
  <conditionalFormatting sqref="J38">
    <cfRule type="cellIs" dxfId="144" priority="39" stopIfTrue="1" operator="greaterThan">
      <formula>$K$47</formula>
    </cfRule>
    <cfRule type="cellIs" dxfId="143" priority="38" stopIfTrue="1" operator="between">
      <formula>$I$47</formula>
      <formula>$K$47</formula>
    </cfRule>
    <cfRule type="colorScale" priority="33">
      <colorScale>
        <cfvo type="formula" val="$I$49"/>
        <cfvo type="max"/>
        <color rgb="FFFFFF00"/>
        <color rgb="FFFFFF00"/>
      </colorScale>
    </cfRule>
  </conditionalFormatting>
  <conditionalFormatting sqref="J38:J39">
    <cfRule type="cellIs" dxfId="142" priority="35" stopIfTrue="1" operator="between">
      <formula>$I$49</formula>
      <formula>$K$49</formula>
    </cfRule>
    <cfRule type="cellIs" dxfId="141" priority="36" stopIfTrue="1" operator="lessThan">
      <formula>$I$49</formula>
    </cfRule>
    <cfRule type="cellIs" dxfId="140" priority="37" stopIfTrue="1" operator="between">
      <formula>$I$49</formula>
      <formula>$K$49</formula>
    </cfRule>
    <cfRule type="cellIs" dxfId="139" priority="34" stopIfTrue="1" operator="greaterThan">
      <formula>$K$49</formula>
    </cfRule>
  </conditionalFormatting>
  <conditionalFormatting sqref="J41:J42 J39">
    <cfRule type="colorScale" priority="49">
      <colorScale>
        <cfvo type="formula" val="$I$49"/>
        <cfvo type="max"/>
        <color rgb="FFFFFF00"/>
        <color rgb="FFFFFF00"/>
      </colorScale>
    </cfRule>
  </conditionalFormatting>
  <conditionalFormatting sqref="J41:J42">
    <cfRule type="cellIs" dxfId="138" priority="43" stopIfTrue="1" operator="between">
      <formula>$I$49</formula>
      <formula>$K$49</formula>
    </cfRule>
    <cfRule type="cellIs" dxfId="137" priority="42" stopIfTrue="1" operator="lessThan">
      <formula>$I$49</formula>
    </cfRule>
    <cfRule type="cellIs" dxfId="136" priority="41" stopIfTrue="1" operator="between">
      <formula>$I$49</formula>
      <formula>$K$49</formula>
    </cfRule>
    <cfRule type="cellIs" dxfId="135" priority="40" stopIfTrue="1" operator="greaterThan">
      <formula>$K$49</formula>
    </cfRule>
  </conditionalFormatting>
  <conditionalFormatting sqref="J40:N40">
    <cfRule type="cellIs" dxfId="134" priority="45" stopIfTrue="1" operator="greaterThan">
      <formula>#REF!</formula>
    </cfRule>
    <cfRule type="cellIs" dxfId="133" priority="46" stopIfTrue="1" operator="greaterThan">
      <formula>$K$51</formula>
    </cfRule>
    <cfRule type="cellIs" dxfId="132" priority="47" stopIfTrue="1" operator="between">
      <formula>$I$51</formula>
      <formula>$K$51</formula>
    </cfRule>
    <cfRule type="cellIs" dxfId="131" priority="48" stopIfTrue="1" operator="lessThan">
      <formula>$I$51</formula>
    </cfRule>
    <cfRule type="cellIs" dxfId="130" priority="44" stopIfTrue="1" operator="between">
      <formula>#REF!</formula>
      <formula>#REF!</formula>
    </cfRule>
  </conditionalFormatting>
  <conditionalFormatting sqref="K24:K42">
    <cfRule type="cellIs" dxfId="129" priority="859" stopIfTrue="1" operator="between">
      <formula>$I$47</formula>
      <formula>$K$47</formula>
    </cfRule>
    <cfRule type="cellIs" dxfId="128" priority="860" stopIfTrue="1" operator="greaterThan">
      <formula>$K$47</formula>
    </cfRule>
  </conditionalFormatting>
  <conditionalFormatting sqref="K31">
    <cfRule type="cellIs" dxfId="127" priority="122" stopIfTrue="1" operator="between">
      <formula>$I$49</formula>
      <formula>$K$49</formula>
    </cfRule>
    <cfRule type="cellIs" dxfId="126" priority="127" stopIfTrue="1" operator="between">
      <formula>$I$49</formula>
      <formula>$K$49</formula>
    </cfRule>
    <cfRule type="cellIs" dxfId="125" priority="123" stopIfTrue="1" operator="lessThan">
      <formula>$I$49</formula>
    </cfRule>
  </conditionalFormatting>
  <conditionalFormatting sqref="K33">
    <cfRule type="colorScale" priority="317">
      <colorScale>
        <cfvo type="formula" val="$I$49"/>
        <cfvo type="max"/>
        <color rgb="FFFFFF00"/>
        <color rgb="FFFFFF00"/>
      </colorScale>
    </cfRule>
    <cfRule type="cellIs" dxfId="124" priority="130" stopIfTrue="1" operator="lessThan">
      <formula>$I$49</formula>
    </cfRule>
    <cfRule type="cellIs" dxfId="123" priority="134" stopIfTrue="1" operator="between">
      <formula>$I$49</formula>
      <formula>$K$49</formula>
    </cfRule>
    <cfRule type="cellIs" dxfId="122" priority="129" stopIfTrue="1" operator="between">
      <formula>$I$49</formula>
      <formula>$K$49</formula>
    </cfRule>
  </conditionalFormatting>
  <conditionalFormatting sqref="K41:K42 K31 K34:K35 K37:K39">
    <cfRule type="colorScale" priority="316">
      <colorScale>
        <cfvo type="formula" val="$I$49"/>
        <cfvo type="max"/>
        <color rgb="FFFFFF00"/>
        <color rgb="FFFFFF00"/>
      </colorScale>
    </cfRule>
  </conditionalFormatting>
  <conditionalFormatting sqref="K31:M31 O31:T31 O33:T33">
    <cfRule type="cellIs" dxfId="121" priority="124" stopIfTrue="1" operator="between">
      <formula>$I$49</formula>
      <formula>$K$49</formula>
    </cfRule>
  </conditionalFormatting>
  <conditionalFormatting sqref="K33:M33">
    <cfRule type="cellIs" dxfId="120" priority="131" stopIfTrue="1" operator="between">
      <formula>$I$49</formula>
      <formula>$K$49</formula>
    </cfRule>
  </conditionalFormatting>
  <conditionalFormatting sqref="K23:N23">
    <cfRule type="cellIs" dxfId="119" priority="101" stopIfTrue="1" operator="between">
      <formula>$I$47</formula>
      <formula>$K$47</formula>
    </cfRule>
    <cfRule type="cellIs" dxfId="118" priority="102" stopIfTrue="1" operator="greaterThan">
      <formula>$K$47</formula>
    </cfRule>
  </conditionalFormatting>
  <conditionalFormatting sqref="K24:N24 K28:N28">
    <cfRule type="cellIs" dxfId="117" priority="99" stopIfTrue="1" operator="between">
      <formula>#REF!</formula>
      <formula>#REF!</formula>
    </cfRule>
    <cfRule type="cellIs" dxfId="116" priority="100" stopIfTrue="1" operator="greaterThan">
      <formula>#REF!</formula>
    </cfRule>
  </conditionalFormatting>
  <conditionalFormatting sqref="K24:N24">
    <cfRule type="cellIs" dxfId="115" priority="103" stopIfTrue="1" operator="greaterThan">
      <formula>$K$51</formula>
    </cfRule>
    <cfRule type="cellIs" dxfId="114" priority="104" stopIfTrue="1" operator="between">
      <formula>$I$51</formula>
      <formula>$K$51</formula>
    </cfRule>
    <cfRule type="cellIs" dxfId="113" priority="105" stopIfTrue="1" operator="lessThan">
      <formula>$I$51</formula>
    </cfRule>
  </conditionalFormatting>
  <conditionalFormatting sqref="K28:N28">
    <cfRule type="cellIs" dxfId="112" priority="110" stopIfTrue="1" operator="lessThan">
      <formula>$I$51</formula>
    </cfRule>
    <cfRule type="cellIs" dxfId="111" priority="108" stopIfTrue="1" operator="greaterThan">
      <formula>$K$51</formula>
    </cfRule>
    <cfRule type="cellIs" dxfId="110" priority="109" stopIfTrue="1" operator="between">
      <formula>$I$51</formula>
      <formula>$K$51</formula>
    </cfRule>
  </conditionalFormatting>
  <conditionalFormatting sqref="K32:N32">
    <cfRule type="cellIs" dxfId="109" priority="111" stopIfTrue="1" operator="between">
      <formula>#REF!</formula>
      <formula>#REF!</formula>
    </cfRule>
    <cfRule type="cellIs" dxfId="108" priority="113" stopIfTrue="1" operator="greaterThan">
      <formula>$K$51</formula>
    </cfRule>
    <cfRule type="cellIs" dxfId="107" priority="115" stopIfTrue="1" operator="lessThan">
      <formula>$I$51</formula>
    </cfRule>
    <cfRule type="cellIs" dxfId="106" priority="114" stopIfTrue="1" operator="between">
      <formula>$I$51</formula>
      <formula>$K$51</formula>
    </cfRule>
    <cfRule type="cellIs" dxfId="105" priority="112" stopIfTrue="1" operator="greaterThan">
      <formula>#REF!</formula>
    </cfRule>
  </conditionalFormatting>
  <conditionalFormatting sqref="K31:T31">
    <cfRule type="cellIs" dxfId="104" priority="121" stopIfTrue="1" operator="greaterThan">
      <formula>$K$49</formula>
    </cfRule>
  </conditionalFormatting>
  <conditionalFormatting sqref="K33:T33">
    <cfRule type="cellIs" dxfId="103" priority="107" stopIfTrue="1" operator="greaterThan">
      <formula>$K$47</formula>
    </cfRule>
    <cfRule type="cellIs" dxfId="102" priority="106" stopIfTrue="1" operator="between">
      <formula>$I$47</formula>
      <formula>$K$47</formula>
    </cfRule>
    <cfRule type="cellIs" dxfId="101" priority="128" stopIfTrue="1" operator="greaterThan">
      <formula>$K$49</formula>
    </cfRule>
  </conditionalFormatting>
  <conditionalFormatting sqref="L23:L42">
    <cfRule type="cellIs" dxfId="100" priority="862" stopIfTrue="1" operator="greaterThan">
      <formula>$K$47</formula>
    </cfRule>
    <cfRule type="cellIs" dxfId="99" priority="861" stopIfTrue="1" operator="between">
      <formula>$I$47</formula>
      <formula>$K$47</formula>
    </cfRule>
  </conditionalFormatting>
  <conditionalFormatting sqref="L31:M31 L41:M42 L34:M35 L37:M39">
    <cfRule type="colorScale" priority="318">
      <colorScale>
        <cfvo type="formula" val="$I$49"/>
        <cfvo type="max"/>
        <color rgb="FFFFFF00"/>
        <color rgb="FFFFFF00"/>
      </colorScale>
    </cfRule>
  </conditionalFormatting>
  <conditionalFormatting sqref="L31:M31">
    <cfRule type="cellIs" dxfId="98" priority="159" stopIfTrue="1" operator="lessThan">
      <formula>$I$49</formula>
    </cfRule>
    <cfRule type="cellIs" dxfId="97" priority="163" stopIfTrue="1" operator="between">
      <formula>$I$49</formula>
      <formula>$K$49</formula>
    </cfRule>
  </conditionalFormatting>
  <conditionalFormatting sqref="L33:M33">
    <cfRule type="cellIs" dxfId="96" priority="166" stopIfTrue="1" operator="lessThan">
      <formula>$I$49</formula>
    </cfRule>
    <cfRule type="colorScale" priority="319">
      <colorScale>
        <cfvo type="formula" val="$I$49"/>
        <cfvo type="max"/>
        <color rgb="FFFFFF00"/>
        <color rgb="FFFFFF00"/>
      </colorScale>
    </cfRule>
    <cfRule type="cellIs" dxfId="95" priority="170" stopIfTrue="1" operator="between">
      <formula>$I$49</formula>
      <formula>$K$49</formula>
    </cfRule>
  </conditionalFormatting>
  <conditionalFormatting sqref="L31:N31">
    <cfRule type="cellIs" dxfId="94" priority="160" stopIfTrue="1" operator="between">
      <formula>$I$49</formula>
      <formula>$K$49</formula>
    </cfRule>
  </conditionalFormatting>
  <conditionalFormatting sqref="L33:N33">
    <cfRule type="cellIs" dxfId="93" priority="167" stopIfTrue="1" operator="between">
      <formula>$I$49</formula>
      <formula>$K$49</formula>
    </cfRule>
  </conditionalFormatting>
  <conditionalFormatting sqref="M31">
    <cfRule type="cellIs" dxfId="92" priority="391" stopIfTrue="1" operator="lessThan">
      <formula>$I$49</formula>
    </cfRule>
    <cfRule type="cellIs" dxfId="91" priority="395" stopIfTrue="1" operator="between">
      <formula>$I$49</formula>
      <formula>$K$49</formula>
    </cfRule>
    <cfRule type="cellIs" dxfId="90" priority="390" stopIfTrue="1" operator="between">
      <formula>$I$49</formula>
      <formula>$K$49</formula>
    </cfRule>
  </conditionalFormatting>
  <conditionalFormatting sqref="M33">
    <cfRule type="cellIs" dxfId="89" priority="399" stopIfTrue="1" operator="lessThan">
      <formula>$I$49</formula>
    </cfRule>
    <cfRule type="cellIs" dxfId="88" priority="398" stopIfTrue="1" operator="between">
      <formula>$I$49</formula>
      <formula>$K$49</formula>
    </cfRule>
    <cfRule type="cellIs" dxfId="87" priority="403" stopIfTrue="1" operator="between">
      <formula>$I$49</formula>
      <formula>$K$49</formula>
    </cfRule>
    <cfRule type="colorScale" priority="1174">
      <colorScale>
        <cfvo type="formula" val="$I$49"/>
        <cfvo type="max"/>
        <color rgb="FFFFFF00"/>
        <color rgb="FFFFFF00"/>
      </colorScale>
    </cfRule>
  </conditionalFormatting>
  <conditionalFormatting sqref="M41:M42 M31 M34:M35 M37:M39">
    <cfRule type="colorScale" priority="1171">
      <colorScale>
        <cfvo type="formula" val="$I$49"/>
        <cfvo type="max"/>
        <color rgb="FFFFFF00"/>
        <color rgb="FFFFFF00"/>
      </colorScale>
    </cfRule>
  </conditionalFormatting>
  <conditionalFormatting sqref="M31:N31">
    <cfRule type="cellIs" dxfId="86" priority="392" stopIfTrue="1" operator="between">
      <formula>$I$49</formula>
      <formula>$K$49</formula>
    </cfRule>
  </conditionalFormatting>
  <conditionalFormatting sqref="M33:N33">
    <cfRule type="cellIs" dxfId="85" priority="400" stopIfTrue="1" operator="between">
      <formula>$I$49</formula>
      <formula>$K$49</formula>
    </cfRule>
  </conditionalFormatting>
  <conditionalFormatting sqref="M23:T23 H37:T38 H41:T42">
    <cfRule type="cellIs" dxfId="84" priority="92" stopIfTrue="1" operator="greaterThan">
      <formula>$K$47</formula>
    </cfRule>
  </conditionalFormatting>
  <conditionalFormatting sqref="M24:T24 H28:I28 M28:T28 M40:T40">
    <cfRule type="cellIs" dxfId="83" priority="352" stopIfTrue="1" operator="lessThan">
      <formula>$I$51</formula>
    </cfRule>
    <cfRule type="cellIs" dxfId="82" priority="351" stopIfTrue="1" operator="between">
      <formula>$I$51</formula>
      <formula>$K$51</formula>
    </cfRule>
  </conditionalFormatting>
  <conditionalFormatting sqref="M24:T24 M28:T28">
    <cfRule type="cellIs" dxfId="81" priority="368" stopIfTrue="1" operator="greaterThan">
      <formula>#REF!</formula>
    </cfRule>
    <cfRule type="cellIs" dxfId="80" priority="367" stopIfTrue="1" operator="between">
      <formula>#REF!</formula>
      <formula>#REF!</formula>
    </cfRule>
  </conditionalFormatting>
  <conditionalFormatting sqref="M36:T36">
    <cfRule type="cellIs" dxfId="79" priority="64" stopIfTrue="1" operator="between">
      <formula>$I$51</formula>
      <formula>$K$51</formula>
    </cfRule>
    <cfRule type="cellIs" dxfId="78" priority="65" stopIfTrue="1" operator="lessThan">
      <formula>$I$51</formula>
    </cfRule>
    <cfRule type="cellIs" dxfId="77" priority="63" stopIfTrue="1" operator="greaterThan">
      <formula>$K$51</formula>
    </cfRule>
  </conditionalFormatting>
  <conditionalFormatting sqref="N31">
    <cfRule type="cellIs" dxfId="76" priority="195" stopIfTrue="1" operator="lessThan">
      <formula>$I$49</formula>
    </cfRule>
    <cfRule type="cellIs" dxfId="75" priority="196" stopIfTrue="1" operator="between">
      <formula>$I$49</formula>
      <formula>$K$49</formula>
    </cfRule>
    <cfRule type="cellIs" dxfId="74" priority="199" stopIfTrue="1" operator="between">
      <formula>$I$49</formula>
      <formula>$K$49</formula>
    </cfRule>
  </conditionalFormatting>
  <conditionalFormatting sqref="N33">
    <cfRule type="cellIs" dxfId="73" priority="202" stopIfTrue="1" operator="lessThan">
      <formula>$I$49</formula>
    </cfRule>
    <cfRule type="cellIs" dxfId="72" priority="203" stopIfTrue="1" operator="between">
      <formula>$I$49</formula>
      <formula>$K$49</formula>
    </cfRule>
    <cfRule type="cellIs" dxfId="71" priority="206" stopIfTrue="1" operator="between">
      <formula>$I$49</formula>
      <formula>$K$49</formula>
    </cfRule>
    <cfRule type="colorScale" priority="321">
      <colorScale>
        <cfvo type="formula" val="$I$49"/>
        <cfvo type="max"/>
        <color rgb="FFFFFF00"/>
        <color rgb="FFFFFF00"/>
      </colorScale>
    </cfRule>
    <cfRule type="colorScale" priority="1178">
      <colorScale>
        <cfvo type="formula" val="$I$49"/>
        <cfvo type="max"/>
        <color rgb="FFFFFF00"/>
        <color rgb="FFFFFF00"/>
      </colorScale>
    </cfRule>
  </conditionalFormatting>
  <conditionalFormatting sqref="N41:N42 N31 N34:N35 N37:N39">
    <cfRule type="colorScale" priority="1293">
      <colorScale>
        <cfvo type="formula" val="$I$49"/>
        <cfvo type="max"/>
        <color rgb="FFFFFF00"/>
        <color rgb="FFFFFF00"/>
      </colorScale>
    </cfRule>
    <cfRule type="colorScale" priority="320">
      <colorScale>
        <cfvo type="formula" val="$I$49"/>
        <cfvo type="max"/>
        <color rgb="FFFFFF00"/>
        <color rgb="FFFFFF00"/>
      </colorScale>
    </cfRule>
  </conditionalFormatting>
  <conditionalFormatting sqref="N31:T31">
    <cfRule type="cellIs" dxfId="70" priority="429" stopIfTrue="1" operator="lessThan">
      <formula>$I$49</formula>
    </cfRule>
    <cfRule type="cellIs" dxfId="69" priority="430" stopIfTrue="1" operator="between">
      <formula>$I$49</formula>
      <formula>$K$49</formula>
    </cfRule>
    <cfRule type="cellIs" dxfId="68" priority="433" stopIfTrue="1" operator="between">
      <formula>$I$49</formula>
      <formula>$K$49</formula>
    </cfRule>
  </conditionalFormatting>
  <conditionalFormatting sqref="N33:T33">
    <cfRule type="cellIs" dxfId="67" priority="441" stopIfTrue="1" operator="between">
      <formula>$I$49</formula>
      <formula>$K$49</formula>
    </cfRule>
    <cfRule type="cellIs" dxfId="66" priority="438" stopIfTrue="1" operator="between">
      <formula>$I$49</formula>
      <formula>$K$49</formula>
    </cfRule>
    <cfRule type="cellIs" dxfId="65" priority="437" stopIfTrue="1" operator="lessThan">
      <formula>$I$49</formula>
    </cfRule>
  </conditionalFormatting>
  <conditionalFormatting sqref="O41:O42">
    <cfRule type="colorScale" priority="50">
      <colorScale>
        <cfvo type="formula" val="$I$49"/>
        <cfvo type="max"/>
        <color rgb="FFFFFF00"/>
        <color rgb="FFFFFF00"/>
      </colorScale>
    </cfRule>
  </conditionalFormatting>
  <conditionalFormatting sqref="O31:T31 O34:T35 O37:T38">
    <cfRule type="colorScale" priority="1191">
      <colorScale>
        <cfvo type="formula" val="$I$49"/>
        <cfvo type="max"/>
        <color rgb="FFFFFF00"/>
        <color rgb="FFFFFF00"/>
      </colorScale>
    </cfRule>
  </conditionalFormatting>
  <conditionalFormatting sqref="O33:T33">
    <cfRule type="colorScale" priority="1194">
      <colorScale>
        <cfvo type="formula" val="$I$49"/>
        <cfvo type="max"/>
        <color rgb="FFFFFF00"/>
        <color rgb="FFFFFF00"/>
      </colorScale>
    </cfRule>
  </conditionalFormatting>
  <conditionalFormatting sqref="O39:T39">
    <cfRule type="colorScale" priority="322">
      <colorScale>
        <cfvo type="formula" val="$I$49"/>
        <cfvo type="max"/>
        <color rgb="FFFFFF00"/>
        <color rgb="FFFFFF00"/>
      </colorScale>
    </cfRule>
  </conditionalFormatting>
  <conditionalFormatting sqref="P38">
    <cfRule type="colorScale" priority="4">
      <colorScale>
        <cfvo type="formula" val="$I$49"/>
        <cfvo type="max"/>
        <color rgb="FFFFFF00"/>
        <color rgb="FFFFFF00"/>
      </colorScale>
    </cfRule>
  </conditionalFormatting>
  <conditionalFormatting sqref="P41:T42">
    <cfRule type="colorScale" priority="5">
      <colorScale>
        <cfvo type="formula" val="$I$49"/>
        <cfvo type="max"/>
        <color rgb="FFFFFF00"/>
        <color rgb="FFFFFF00"/>
      </colorScale>
    </cfRule>
  </conditionalFormatting>
  <conditionalFormatting sqref="Q38">
    <cfRule type="colorScale" priority="3">
      <colorScale>
        <cfvo type="formula" val="$I$49"/>
        <cfvo type="max"/>
        <color rgb="FFFFFF00"/>
        <color rgb="FFFFFF00"/>
      </colorScale>
    </cfRule>
  </conditionalFormatting>
  <conditionalFormatting sqref="R38">
    <cfRule type="colorScale" priority="2">
      <colorScale>
        <cfvo type="formula" val="$I$49"/>
        <cfvo type="max"/>
        <color rgb="FFFFFF00"/>
        <color rgb="FFFFFF00"/>
      </colorScale>
    </cfRule>
  </conditionalFormatting>
  <conditionalFormatting sqref="S38">
    <cfRule type="colorScale" priority="1">
      <colorScale>
        <cfvo type="formula" val="$I$49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4" zoomScale="90" zoomScaleNormal="90" workbookViewId="0">
      <selection activeCell="E12" sqref="E12:G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4" t="s">
        <v>90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"/>
    </row>
    <row r="4" spans="1:21" ht="15" customHeight="1" x14ac:dyDescent="0.3">
      <c r="A4" s="1"/>
      <c r="B4" s="1"/>
      <c r="C4" s="195"/>
      <c r="D4" s="140"/>
      <c r="E4" s="1"/>
      <c r="F4" s="1"/>
      <c r="G4" s="1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"/>
    </row>
    <row r="5" spans="1:21" ht="15" customHeight="1" x14ac:dyDescent="0.3">
      <c r="A5" s="1"/>
      <c r="B5" s="1"/>
      <c r="C5" s="193"/>
      <c r="D5" s="140"/>
      <c r="E5" s="1"/>
      <c r="F5" s="1"/>
      <c r="G5" s="1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"/>
    </row>
    <row r="7" spans="1:21" ht="15" customHeight="1" x14ac:dyDescent="0.3">
      <c r="A7" s="1"/>
      <c r="B7" s="1"/>
      <c r="C7" s="155" t="s">
        <v>0</v>
      </c>
      <c r="D7" s="135"/>
      <c r="E7" s="135"/>
      <c r="F7" s="135"/>
      <c r="G7" s="136"/>
      <c r="H7" s="156" t="s">
        <v>1</v>
      </c>
      <c r="I7" s="135"/>
      <c r="J7" s="135"/>
      <c r="K7" s="136"/>
      <c r="L7" s="157" t="s">
        <v>2</v>
      </c>
      <c r="M7" s="135"/>
      <c r="N7" s="135"/>
      <c r="O7" s="135"/>
      <c r="P7" s="135"/>
      <c r="Q7" s="135"/>
      <c r="R7" s="135"/>
      <c r="S7" s="135"/>
      <c r="T7" s="158"/>
      <c r="U7" s="1"/>
    </row>
    <row r="8" spans="1:21" ht="15" customHeight="1" x14ac:dyDescent="0.3">
      <c r="A8" s="1"/>
      <c r="B8" s="1"/>
      <c r="C8" s="131" t="s">
        <v>3</v>
      </c>
      <c r="D8" s="136"/>
      <c r="E8" s="137" t="s">
        <v>80</v>
      </c>
      <c r="F8" s="135"/>
      <c r="G8" s="136"/>
      <c r="H8" s="159"/>
      <c r="I8" s="160"/>
      <c r="J8" s="160"/>
      <c r="K8" s="161"/>
      <c r="L8" s="165">
        <v>45609</v>
      </c>
      <c r="M8" s="196" t="s">
        <v>81</v>
      </c>
      <c r="N8" s="197"/>
      <c r="O8" s="197"/>
      <c r="P8" s="197"/>
      <c r="Q8" s="197"/>
      <c r="R8" s="197"/>
      <c r="S8" s="197"/>
      <c r="T8" s="198"/>
      <c r="U8" s="1"/>
    </row>
    <row r="9" spans="1:21" ht="15" customHeight="1" x14ac:dyDescent="0.3">
      <c r="A9" s="1"/>
      <c r="B9" s="1"/>
      <c r="C9" s="131" t="s">
        <v>4</v>
      </c>
      <c r="D9" s="136"/>
      <c r="E9" s="137" t="s">
        <v>5</v>
      </c>
      <c r="F9" s="138"/>
      <c r="G9" s="132"/>
      <c r="H9" s="162"/>
      <c r="I9" s="147"/>
      <c r="J9" s="147"/>
      <c r="K9" s="125"/>
      <c r="L9" s="166"/>
      <c r="M9" s="199"/>
      <c r="N9" s="200"/>
      <c r="O9" s="200"/>
      <c r="P9" s="200"/>
      <c r="Q9" s="200"/>
      <c r="R9" s="200"/>
      <c r="S9" s="200"/>
      <c r="T9" s="201"/>
      <c r="U9" s="1"/>
    </row>
    <row r="10" spans="1:21" ht="15" customHeight="1" x14ac:dyDescent="0.3">
      <c r="A10" s="1"/>
      <c r="B10" s="1"/>
      <c r="C10" s="131" t="s">
        <v>6</v>
      </c>
      <c r="D10" s="136"/>
      <c r="E10" s="137" t="s">
        <v>7</v>
      </c>
      <c r="F10" s="138"/>
      <c r="G10" s="132"/>
      <c r="H10" s="162"/>
      <c r="I10" s="147"/>
      <c r="J10" s="147"/>
      <c r="K10" s="125"/>
      <c r="L10" s="173" t="s">
        <v>8</v>
      </c>
      <c r="M10" s="135"/>
      <c r="N10" s="135"/>
      <c r="O10" s="135"/>
      <c r="P10" s="135"/>
      <c r="Q10" s="135"/>
      <c r="R10" s="135"/>
      <c r="S10" s="135"/>
      <c r="T10" s="158"/>
      <c r="U10" s="1"/>
    </row>
    <row r="11" spans="1:21" ht="15" customHeight="1" x14ac:dyDescent="0.3">
      <c r="A11" s="1"/>
      <c r="B11" s="1"/>
      <c r="C11" s="131" t="s">
        <v>9</v>
      </c>
      <c r="D11" s="136"/>
      <c r="E11" s="137"/>
      <c r="F11" s="138"/>
      <c r="G11" s="132"/>
      <c r="H11" s="162"/>
      <c r="I11" s="147"/>
      <c r="J11" s="147"/>
      <c r="K11" s="125"/>
      <c r="L11" s="165">
        <v>45859</v>
      </c>
      <c r="M11" s="202" t="s">
        <v>83</v>
      </c>
      <c r="N11" s="175"/>
      <c r="O11" s="175"/>
      <c r="P11" s="175"/>
      <c r="Q11" s="175"/>
      <c r="R11" s="175"/>
      <c r="S11" s="175"/>
      <c r="T11" s="176"/>
      <c r="U11" s="1"/>
    </row>
    <row r="12" spans="1:21" ht="24.6" customHeight="1" x14ac:dyDescent="0.3">
      <c r="A12" s="1"/>
      <c r="B12" s="1"/>
      <c r="C12" s="131" t="s">
        <v>10</v>
      </c>
      <c r="D12" s="136"/>
      <c r="E12" s="142" t="s">
        <v>91</v>
      </c>
      <c r="F12" s="138"/>
      <c r="G12" s="132"/>
      <c r="H12" s="162"/>
      <c r="I12" s="147"/>
      <c r="J12" s="147"/>
      <c r="K12" s="125"/>
      <c r="L12" s="166"/>
      <c r="M12" s="163"/>
      <c r="N12" s="177"/>
      <c r="O12" s="177"/>
      <c r="P12" s="177"/>
      <c r="Q12" s="177"/>
      <c r="R12" s="177"/>
      <c r="S12" s="177"/>
      <c r="T12" s="178"/>
      <c r="U12" s="1"/>
    </row>
    <row r="13" spans="1:21" ht="15" customHeight="1" x14ac:dyDescent="0.3">
      <c r="A13" s="1"/>
      <c r="B13" s="1"/>
      <c r="C13" s="131" t="s">
        <v>11</v>
      </c>
      <c r="D13" s="136"/>
      <c r="E13" s="142"/>
      <c r="F13" s="138"/>
      <c r="G13" s="132"/>
      <c r="H13" s="162"/>
      <c r="I13" s="147"/>
      <c r="J13" s="147"/>
      <c r="K13" s="125"/>
      <c r="L13" s="173" t="s">
        <v>12</v>
      </c>
      <c r="M13" s="135"/>
      <c r="N13" s="135"/>
      <c r="O13" s="135"/>
      <c r="P13" s="135"/>
      <c r="Q13" s="135"/>
      <c r="R13" s="135"/>
      <c r="S13" s="135"/>
      <c r="T13" s="158"/>
      <c r="U13" s="1"/>
    </row>
    <row r="14" spans="1:21" ht="15" customHeight="1" x14ac:dyDescent="0.3">
      <c r="A14" s="1"/>
      <c r="B14" s="1"/>
      <c r="C14" s="131" t="s">
        <v>13</v>
      </c>
      <c r="D14" s="136"/>
      <c r="E14" s="143" t="s">
        <v>14</v>
      </c>
      <c r="F14" s="138"/>
      <c r="G14" s="132"/>
      <c r="H14" s="162"/>
      <c r="I14" s="147"/>
      <c r="J14" s="147"/>
      <c r="K14" s="125"/>
      <c r="L14" s="165">
        <v>45859</v>
      </c>
      <c r="M14" s="174" t="s">
        <v>84</v>
      </c>
      <c r="N14" s="175"/>
      <c r="O14" s="175"/>
      <c r="P14" s="175"/>
      <c r="Q14" s="175"/>
      <c r="R14" s="175"/>
      <c r="S14" s="175"/>
      <c r="T14" s="176"/>
      <c r="U14" s="1"/>
    </row>
    <row r="15" spans="1:21" ht="15" customHeight="1" x14ac:dyDescent="0.3">
      <c r="A15" s="1"/>
      <c r="B15" s="1"/>
      <c r="C15" s="133" t="s">
        <v>15</v>
      </c>
      <c r="D15" s="136"/>
      <c r="E15" s="134">
        <v>45859</v>
      </c>
      <c r="F15" s="135"/>
      <c r="G15" s="136"/>
      <c r="H15" s="162"/>
      <c r="I15" s="147"/>
      <c r="J15" s="147"/>
      <c r="K15" s="125"/>
      <c r="L15" s="166"/>
      <c r="M15" s="163"/>
      <c r="N15" s="177"/>
      <c r="O15" s="177"/>
      <c r="P15" s="177"/>
      <c r="Q15" s="177"/>
      <c r="R15" s="177"/>
      <c r="S15" s="177"/>
      <c r="T15" s="178"/>
      <c r="U15" s="1"/>
    </row>
    <row r="16" spans="1:21" ht="15" customHeight="1" x14ac:dyDescent="0.3">
      <c r="A16" s="1"/>
      <c r="B16" s="1"/>
      <c r="C16" s="131" t="s">
        <v>16</v>
      </c>
      <c r="D16" s="136"/>
      <c r="E16" s="134">
        <v>45859</v>
      </c>
      <c r="F16" s="135"/>
      <c r="G16" s="136"/>
      <c r="H16" s="162"/>
      <c r="I16" s="147"/>
      <c r="J16" s="147"/>
      <c r="K16" s="125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31" t="s">
        <v>17</v>
      </c>
      <c r="D17" s="136"/>
      <c r="E17" s="137" t="s">
        <v>18</v>
      </c>
      <c r="F17" s="138"/>
      <c r="G17" s="132"/>
      <c r="H17" s="162"/>
      <c r="I17" s="147"/>
      <c r="J17" s="147"/>
      <c r="K17" s="125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31" t="s">
        <v>19</v>
      </c>
      <c r="D18" s="136"/>
      <c r="E18" s="137" t="s">
        <v>20</v>
      </c>
      <c r="F18" s="138"/>
      <c r="G18" s="132"/>
      <c r="H18" s="163"/>
      <c r="I18" s="149"/>
      <c r="J18" s="149"/>
      <c r="K18" s="164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4" t="s">
        <v>21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1"/>
      <c r="D4" s="152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3"/>
      <c r="D5" s="154"/>
      <c r="E5" s="1"/>
      <c r="F5" s="1"/>
      <c r="G5" s="1"/>
      <c r="H5" s="1"/>
      <c r="I5" s="1"/>
      <c r="J5" s="1"/>
      <c r="K5" s="79"/>
      <c r="L5" s="211" t="s">
        <v>60</v>
      </c>
      <c r="M5" s="212"/>
      <c r="N5" s="212"/>
      <c r="O5" s="212"/>
      <c r="P5" s="212"/>
      <c r="Q5" s="212"/>
      <c r="R5" s="14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38"/>
      <c r="E7" s="138"/>
      <c r="F7" s="138"/>
      <c r="G7" s="132"/>
      <c r="H7" s="156" t="s">
        <v>1</v>
      </c>
      <c r="I7" s="138"/>
      <c r="J7" s="138"/>
      <c r="K7" s="132"/>
      <c r="L7" s="157" t="s">
        <v>2</v>
      </c>
      <c r="M7" s="138"/>
      <c r="N7" s="138"/>
      <c r="O7" s="138"/>
      <c r="P7" s="138"/>
      <c r="Q7" s="138"/>
      <c r="R7" s="138"/>
      <c r="S7" s="138"/>
      <c r="T7" s="158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31" t="s">
        <v>3</v>
      </c>
      <c r="D8" s="132"/>
      <c r="E8" s="137" t="s">
        <v>61</v>
      </c>
      <c r="F8" s="138"/>
      <c r="G8" s="132"/>
      <c r="H8" s="159"/>
      <c r="I8" s="160"/>
      <c r="J8" s="160"/>
      <c r="K8" s="161"/>
      <c r="L8" s="165">
        <f>E15</f>
        <v>41694</v>
      </c>
      <c r="M8" s="210"/>
      <c r="N8" s="138"/>
      <c r="O8" s="138"/>
      <c r="P8" s="138"/>
      <c r="Q8" s="138"/>
      <c r="R8" s="138"/>
      <c r="S8" s="138"/>
      <c r="T8" s="158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31" t="s">
        <v>4</v>
      </c>
      <c r="D9" s="132"/>
      <c r="E9" s="137" t="s">
        <v>62</v>
      </c>
      <c r="F9" s="138"/>
      <c r="G9" s="132"/>
      <c r="H9" s="162"/>
      <c r="I9" s="147"/>
      <c r="J9" s="147"/>
      <c r="K9" s="125"/>
      <c r="L9" s="164"/>
      <c r="M9" s="210"/>
      <c r="N9" s="138"/>
      <c r="O9" s="138"/>
      <c r="P9" s="138"/>
      <c r="Q9" s="138"/>
      <c r="R9" s="138"/>
      <c r="S9" s="138"/>
      <c r="T9" s="15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1" t="s">
        <v>6</v>
      </c>
      <c r="D10" s="132"/>
      <c r="E10" s="137"/>
      <c r="F10" s="138"/>
      <c r="G10" s="132"/>
      <c r="H10" s="162"/>
      <c r="I10" s="147"/>
      <c r="J10" s="147"/>
      <c r="K10" s="125"/>
      <c r="L10" s="173" t="s">
        <v>8</v>
      </c>
      <c r="M10" s="138"/>
      <c r="N10" s="138"/>
      <c r="O10" s="138"/>
      <c r="P10" s="138"/>
      <c r="Q10" s="138"/>
      <c r="R10" s="138"/>
      <c r="S10" s="138"/>
      <c r="T10" s="158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31" t="s">
        <v>10</v>
      </c>
      <c r="D11" s="132"/>
      <c r="E11" s="207"/>
      <c r="F11" s="138"/>
      <c r="G11" s="132"/>
      <c r="H11" s="162"/>
      <c r="I11" s="147"/>
      <c r="J11" s="147"/>
      <c r="K11" s="125"/>
      <c r="L11" s="165">
        <f>E16</f>
        <v>0</v>
      </c>
      <c r="M11" s="210"/>
      <c r="N11" s="138"/>
      <c r="O11" s="138"/>
      <c r="P11" s="138"/>
      <c r="Q11" s="138"/>
      <c r="R11" s="138"/>
      <c r="S11" s="138"/>
      <c r="T11" s="158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31" t="s">
        <v>63</v>
      </c>
      <c r="D12" s="132"/>
      <c r="E12" s="208"/>
      <c r="F12" s="138"/>
      <c r="G12" s="132"/>
      <c r="H12" s="162"/>
      <c r="I12" s="147"/>
      <c r="J12" s="147"/>
      <c r="K12" s="125"/>
      <c r="L12" s="164"/>
      <c r="M12" s="210"/>
      <c r="N12" s="138"/>
      <c r="O12" s="138"/>
      <c r="P12" s="138"/>
      <c r="Q12" s="138"/>
      <c r="R12" s="138"/>
      <c r="S12" s="138"/>
      <c r="T12" s="15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1" t="s">
        <v>11</v>
      </c>
      <c r="D13" s="132"/>
      <c r="E13" s="207"/>
      <c r="F13" s="138"/>
      <c r="G13" s="132"/>
      <c r="H13" s="162"/>
      <c r="I13" s="147"/>
      <c r="J13" s="147"/>
      <c r="K13" s="125"/>
      <c r="L13" s="173" t="s">
        <v>12</v>
      </c>
      <c r="M13" s="138"/>
      <c r="N13" s="138"/>
      <c r="O13" s="138"/>
      <c r="P13" s="138"/>
      <c r="Q13" s="138"/>
      <c r="R13" s="138"/>
      <c r="S13" s="138"/>
      <c r="T13" s="158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31" t="s">
        <v>13</v>
      </c>
      <c r="D14" s="132"/>
      <c r="E14" s="209" t="s">
        <v>64</v>
      </c>
      <c r="F14" s="138"/>
      <c r="G14" s="132"/>
      <c r="H14" s="162"/>
      <c r="I14" s="147"/>
      <c r="J14" s="147"/>
      <c r="K14" s="125"/>
      <c r="L14" s="165">
        <f>E16</f>
        <v>0</v>
      </c>
      <c r="M14" s="210"/>
      <c r="N14" s="138"/>
      <c r="O14" s="138"/>
      <c r="P14" s="138"/>
      <c r="Q14" s="138"/>
      <c r="R14" s="138"/>
      <c r="S14" s="138"/>
      <c r="T14" s="15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3" t="s">
        <v>15</v>
      </c>
      <c r="D15" s="132"/>
      <c r="E15" s="134">
        <v>41694</v>
      </c>
      <c r="F15" s="138"/>
      <c r="G15" s="132"/>
      <c r="H15" s="162"/>
      <c r="I15" s="147"/>
      <c r="J15" s="147"/>
      <c r="K15" s="125"/>
      <c r="L15" s="164"/>
      <c r="M15" s="210"/>
      <c r="N15" s="138"/>
      <c r="O15" s="138"/>
      <c r="P15" s="138"/>
      <c r="Q15" s="138"/>
      <c r="R15" s="138"/>
      <c r="S15" s="138"/>
      <c r="T15" s="15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1" t="s">
        <v>16</v>
      </c>
      <c r="D16" s="132"/>
      <c r="E16" s="137"/>
      <c r="F16" s="138"/>
      <c r="G16" s="132"/>
      <c r="H16" s="162"/>
      <c r="I16" s="147"/>
      <c r="J16" s="147"/>
      <c r="K16" s="12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1" t="s">
        <v>17</v>
      </c>
      <c r="D17" s="132"/>
      <c r="E17" s="137" t="s">
        <v>18</v>
      </c>
      <c r="F17" s="138"/>
      <c r="G17" s="132"/>
      <c r="H17" s="162"/>
      <c r="I17" s="147"/>
      <c r="J17" s="147"/>
      <c r="K17" s="12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31" t="s">
        <v>19</v>
      </c>
      <c r="D18" s="132"/>
      <c r="E18" s="137" t="s">
        <v>65</v>
      </c>
      <c r="F18" s="138"/>
      <c r="G18" s="132"/>
      <c r="H18" s="163"/>
      <c r="I18" s="149"/>
      <c r="J18" s="149"/>
      <c r="K18" s="16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06" t="s">
        <v>21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03" t="s">
        <v>22</v>
      </c>
      <c r="D20" s="161"/>
      <c r="E20" s="204" t="s">
        <v>23</v>
      </c>
      <c r="F20" s="160"/>
      <c r="G20" s="205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4"/>
      <c r="D21" s="125"/>
      <c r="E21" s="147"/>
      <c r="F21" s="147"/>
      <c r="G21" s="130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17" t="s">
        <v>78</v>
      </c>
      <c r="D23" s="218"/>
      <c r="E23" s="220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4"/>
      <c r="D24" s="125"/>
      <c r="E24" s="130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4"/>
      <c r="D25" s="125"/>
      <c r="E25" s="130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4"/>
      <c r="D26" s="125"/>
      <c r="E26" s="221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4"/>
      <c r="D27" s="125"/>
      <c r="E27" s="222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4"/>
      <c r="D28" s="125"/>
      <c r="E28" s="130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4"/>
      <c r="D29" s="125"/>
      <c r="E29" s="130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85"/>
      <c r="D30" s="219"/>
      <c r="E30" s="223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92" t="s">
        <v>36</v>
      </c>
      <c r="D31" s="218"/>
      <c r="E31" s="220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4"/>
      <c r="D32" s="125"/>
      <c r="E32" s="130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4"/>
      <c r="D33" s="125"/>
      <c r="E33" s="130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4"/>
      <c r="D34" s="125"/>
      <c r="E34" s="221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4"/>
      <c r="D35" s="125"/>
      <c r="E35" s="222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4"/>
      <c r="D36" s="125"/>
      <c r="E36" s="130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4"/>
      <c r="D37" s="125"/>
      <c r="E37" s="130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85"/>
      <c r="D38" s="219"/>
      <c r="E38" s="223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13" t="s">
        <v>47</v>
      </c>
      <c r="D41" s="161"/>
      <c r="E41" s="215" t="s">
        <v>48</v>
      </c>
      <c r="F41" s="138"/>
      <c r="G41" s="132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4"/>
      <c r="D42" s="125"/>
      <c r="E42" s="215" t="s">
        <v>49</v>
      </c>
      <c r="F42" s="138"/>
      <c r="G42" s="132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81"/>
      <c r="D43" s="164"/>
      <c r="E43" s="215" t="s">
        <v>50</v>
      </c>
      <c r="F43" s="138"/>
      <c r="G43" s="132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9" t="s">
        <v>51</v>
      </c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58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6" t="s">
        <v>52</v>
      </c>
      <c r="D45" s="147"/>
      <c r="E45" s="147"/>
      <c r="F45" s="147"/>
      <c r="G45" s="147"/>
      <c r="H45" s="125"/>
      <c r="I45" s="44" t="s">
        <v>25</v>
      </c>
      <c r="J45" s="45" t="s">
        <v>46</v>
      </c>
      <c r="K45" s="46" t="s">
        <v>45</v>
      </c>
      <c r="L45" s="182"/>
      <c r="M45" s="125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81"/>
      <c r="D46" s="149"/>
      <c r="E46" s="149"/>
      <c r="F46" s="149"/>
      <c r="G46" s="149"/>
      <c r="H46" s="164"/>
      <c r="I46" s="50">
        <v>2.8</v>
      </c>
      <c r="J46" s="26" t="str">
        <f>CONCATENATE(I46," @ ",K46)</f>
        <v>2.8 @ 4.5</v>
      </c>
      <c r="K46" s="50">
        <v>4.5</v>
      </c>
      <c r="L46" s="162"/>
      <c r="M46" s="125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80" t="s">
        <v>54</v>
      </c>
      <c r="D47" s="160"/>
      <c r="E47" s="160"/>
      <c r="F47" s="160"/>
      <c r="G47" s="160"/>
      <c r="H47" s="161"/>
      <c r="I47" s="52" t="s">
        <v>25</v>
      </c>
      <c r="J47" s="53" t="s">
        <v>46</v>
      </c>
      <c r="K47" s="54" t="s">
        <v>45</v>
      </c>
      <c r="L47" s="162"/>
      <c r="M47" s="125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81"/>
      <c r="D48" s="149"/>
      <c r="E48" s="149"/>
      <c r="F48" s="149"/>
      <c r="G48" s="149"/>
      <c r="H48" s="164"/>
      <c r="I48" s="50">
        <v>2.25</v>
      </c>
      <c r="J48" s="26" t="str">
        <f>CONCATENATE(I48," @ ",K48)</f>
        <v>2.25 @ 3.6</v>
      </c>
      <c r="K48" s="50">
        <v>3.6</v>
      </c>
      <c r="L48" s="162"/>
      <c r="M48" s="125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80" t="s">
        <v>56</v>
      </c>
      <c r="D49" s="160"/>
      <c r="E49" s="160"/>
      <c r="F49" s="160"/>
      <c r="G49" s="160"/>
      <c r="H49" s="161"/>
      <c r="I49" s="55" t="s">
        <v>25</v>
      </c>
      <c r="J49" s="56" t="s">
        <v>46</v>
      </c>
      <c r="K49" s="57" t="s">
        <v>45</v>
      </c>
      <c r="L49" s="162"/>
      <c r="M49" s="125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81"/>
      <c r="D50" s="149"/>
      <c r="E50" s="149"/>
      <c r="F50" s="149"/>
      <c r="G50" s="149"/>
      <c r="H50" s="164"/>
      <c r="I50" s="50">
        <v>2.5</v>
      </c>
      <c r="J50" s="26" t="str">
        <f>CONCATENATE(I50," @ ",K50)</f>
        <v>2.5 @ 4</v>
      </c>
      <c r="K50" s="50">
        <v>4</v>
      </c>
      <c r="L50" s="163"/>
      <c r="M50" s="164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9" t="s">
        <v>57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58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14"/>
      <c r="D53" s="212"/>
      <c r="E53" s="140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2025-09-30T07:05:26Z</dcterms:modified>
</cp:coreProperties>
</file>