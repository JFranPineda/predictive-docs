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392C58B0-B99B-457A-8348-955EEE938483}" xr6:coauthVersionLast="47" xr6:coauthVersionMax="47" xr10:uidLastSave="{00000000-0000-0000-0000-000000000000}"/>
  <bookViews>
    <workbookView xWindow="-108" yWindow="-108" windowWidth="23256" windowHeight="12576" xr2:uid="{C4199D42-F38E-453C-9BB2-7FF169DCAA54}"/>
  </bookViews>
  <sheets>
    <sheet name="SECADORES" sheetId="4" r:id="rId1"/>
    <sheet name="Hoja1" sheetId="6" state="hidden" r:id="rId2"/>
    <sheet name="Hoja2" sheetId="7" state="hidden" r:id="rId3"/>
    <sheet name="RESUMEN" sheetId="5" r:id="rId4"/>
  </sheets>
  <definedNames>
    <definedName name="_xlnm._FilterDatabase" localSheetId="3" hidden="1">RESUMEN!$A$9:$B$13</definedName>
    <definedName name="_xlchart.v1.0" hidden="1">RESUMEN!$A$10:$A$13</definedName>
    <definedName name="_xlchart.v1.1" hidden="1">RESUMEN!$B$10:$B$13</definedName>
    <definedName name="_xlchart.v1.2" hidden="1">RESUMEN!$B$9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8" i="7" l="1"/>
  <c r="N82" i="7"/>
  <c r="O82" i="7" s="1"/>
  <c r="N85" i="7"/>
  <c r="N90" i="7"/>
  <c r="O90" i="7" s="1"/>
  <c r="M90" i="7"/>
  <c r="M89" i="7"/>
  <c r="N89" i="7" s="1"/>
  <c r="O89" i="7" s="1"/>
  <c r="M88" i="7"/>
  <c r="N88" i="7" s="1"/>
  <c r="O88" i="7" s="1"/>
  <c r="M87" i="7"/>
  <c r="N87" i="7" s="1"/>
  <c r="O87" i="7" s="1"/>
  <c r="N86" i="7"/>
  <c r="O86" i="7" s="1"/>
  <c r="M86" i="7"/>
  <c r="M85" i="7"/>
  <c r="M84" i="7"/>
  <c r="N84" i="7" s="1"/>
  <c r="O84" i="7" s="1"/>
  <c r="M83" i="7"/>
  <c r="N83" i="7" s="1"/>
  <c r="O83" i="7" s="1"/>
  <c r="M82" i="7"/>
  <c r="M81" i="7"/>
  <c r="N81" i="7" s="1"/>
  <c r="O81" i="7" s="1"/>
  <c r="M80" i="7"/>
  <c r="N80" i="7" s="1"/>
  <c r="O80" i="7" s="1"/>
  <c r="M79" i="7"/>
  <c r="N79" i="7" s="1"/>
  <c r="O79" i="7" s="1"/>
  <c r="M77" i="7"/>
  <c r="N77" i="7" s="1"/>
  <c r="O77" i="7" s="1"/>
  <c r="M76" i="7"/>
  <c r="N76" i="7" s="1"/>
  <c r="O76" i="7" s="1"/>
  <c r="M75" i="7"/>
  <c r="N75" i="7" s="1"/>
  <c r="O75" i="7" s="1"/>
  <c r="N74" i="7"/>
  <c r="O74" i="7" s="1"/>
  <c r="M74" i="7"/>
  <c r="M73" i="7"/>
  <c r="N73" i="7" s="1"/>
  <c r="O73" i="7" s="1"/>
  <c r="M72" i="7"/>
  <c r="N72" i="7" s="1"/>
  <c r="O72" i="7" s="1"/>
  <c r="M71" i="7"/>
  <c r="N71" i="7" s="1"/>
  <c r="O71" i="7" s="1"/>
  <c r="N70" i="7"/>
  <c r="O70" i="7" s="1"/>
  <c r="M70" i="7"/>
  <c r="M69" i="7"/>
  <c r="N69" i="7" s="1"/>
  <c r="O69" i="7" s="1"/>
  <c r="M68" i="7"/>
  <c r="N68" i="7" s="1"/>
  <c r="O68" i="7" s="1"/>
  <c r="M67" i="7"/>
  <c r="N67" i="7" s="1"/>
  <c r="O67" i="7" s="1"/>
  <c r="N66" i="7"/>
  <c r="O66" i="7" s="1"/>
  <c r="M66" i="7"/>
  <c r="M65" i="7"/>
  <c r="N65" i="7" s="1"/>
  <c r="O65" i="7" s="1"/>
  <c r="M61" i="7"/>
  <c r="N61" i="7" s="1"/>
  <c r="O61" i="7" s="1"/>
  <c r="O60" i="7"/>
  <c r="N60" i="7"/>
  <c r="M60" i="7"/>
  <c r="N59" i="7"/>
  <c r="O59" i="7" s="1"/>
  <c r="M59" i="7"/>
  <c r="M58" i="7"/>
  <c r="M57" i="7"/>
  <c r="N57" i="7" s="1"/>
  <c r="O57" i="7" s="1"/>
  <c r="O56" i="7"/>
  <c r="N56" i="7"/>
  <c r="M56" i="7"/>
  <c r="N55" i="7"/>
  <c r="O55" i="7" s="1"/>
  <c r="M55" i="7"/>
  <c r="M54" i="7"/>
  <c r="N54" i="7" s="1"/>
  <c r="O54" i="7" s="1"/>
  <c r="M53" i="7"/>
  <c r="N53" i="7" s="1"/>
  <c r="O53" i="7" s="1"/>
  <c r="O52" i="7"/>
  <c r="N52" i="7"/>
  <c r="M52" i="7"/>
  <c r="N51" i="7"/>
  <c r="O51" i="7" s="1"/>
  <c r="M51" i="7"/>
  <c r="M50" i="7"/>
  <c r="N50" i="7" s="1"/>
  <c r="O50" i="7" s="1"/>
  <c r="M49" i="7"/>
  <c r="N49" i="7" s="1"/>
  <c r="O49" i="7" s="1"/>
  <c r="O48" i="7"/>
  <c r="N48" i="7"/>
  <c r="M48" i="7"/>
  <c r="N47" i="7"/>
  <c r="O47" i="7" s="1"/>
  <c r="M47" i="7"/>
  <c r="M46" i="7"/>
  <c r="N46" i="7" s="1"/>
  <c r="O46" i="7" s="1"/>
  <c r="M45" i="7"/>
  <c r="N45" i="7" s="1"/>
  <c r="O45" i="7" s="1"/>
  <c r="O44" i="7"/>
  <c r="N44" i="7"/>
  <c r="M44" i="7"/>
  <c r="N43" i="7"/>
  <c r="O43" i="7" s="1"/>
  <c r="M43" i="7"/>
  <c r="M42" i="7"/>
  <c r="N42" i="7" s="1"/>
  <c r="O42" i="7" s="1"/>
  <c r="M40" i="7"/>
  <c r="N40" i="7" s="1"/>
  <c r="O40" i="7" s="1"/>
  <c r="M39" i="7"/>
  <c r="N39" i="7" s="1"/>
  <c r="O39" i="7" s="1"/>
  <c r="N38" i="7"/>
  <c r="O38" i="7" s="1"/>
  <c r="M38" i="7"/>
  <c r="M37" i="7"/>
  <c r="N37" i="7" s="1"/>
  <c r="O37" i="7" s="1"/>
  <c r="M36" i="7"/>
  <c r="N36" i="7" s="1"/>
  <c r="O36" i="7" s="1"/>
  <c r="M35" i="7"/>
  <c r="N35" i="7" s="1"/>
  <c r="O35" i="7" s="1"/>
  <c r="M4" i="7"/>
  <c r="N4" i="7" s="1"/>
  <c r="O4" i="7" s="1"/>
  <c r="M5" i="7"/>
  <c r="N5" i="7" s="1"/>
  <c r="O5" i="7" s="1"/>
  <c r="M6" i="7"/>
  <c r="N6" i="7"/>
  <c r="O6" i="7" s="1"/>
  <c r="M7" i="7"/>
  <c r="N7" i="7"/>
  <c r="O7" i="7"/>
  <c r="M8" i="7"/>
  <c r="N8" i="7" s="1"/>
  <c r="O8" i="7" s="1"/>
  <c r="M9" i="7"/>
  <c r="N9" i="7" s="1"/>
  <c r="O9" i="7" s="1"/>
  <c r="M10" i="7"/>
  <c r="N10" i="7"/>
  <c r="O10" i="7" s="1"/>
  <c r="M11" i="7"/>
  <c r="N11" i="7"/>
  <c r="O11" i="7"/>
  <c r="M12" i="7"/>
  <c r="N12" i="7" s="1"/>
  <c r="O12" i="7" s="1"/>
  <c r="M13" i="7"/>
  <c r="N13" i="7" s="1"/>
  <c r="O13" i="7" s="1"/>
  <c r="M14" i="7"/>
  <c r="N14" i="7"/>
  <c r="O14" i="7" s="1"/>
  <c r="M15" i="7"/>
  <c r="N15" i="7"/>
  <c r="O15" i="7"/>
  <c r="M16" i="7"/>
  <c r="N16" i="7" s="1"/>
  <c r="O16" i="7" s="1"/>
  <c r="M17" i="7"/>
  <c r="N17" i="7" s="1"/>
  <c r="O17" i="7" s="1"/>
  <c r="M18" i="7"/>
  <c r="N18" i="7"/>
  <c r="O18" i="7" s="1"/>
  <c r="M19" i="7"/>
  <c r="N19" i="7"/>
  <c r="O19" i="7"/>
  <c r="M20" i="7"/>
  <c r="N20" i="7" s="1"/>
  <c r="O20" i="7" s="1"/>
  <c r="M21" i="7"/>
  <c r="N21" i="7" s="1"/>
  <c r="O21" i="7" s="1"/>
  <c r="M22" i="7"/>
  <c r="N22" i="7"/>
  <c r="O22" i="7" s="1"/>
  <c r="M23" i="7"/>
  <c r="N23" i="7"/>
  <c r="O23" i="7"/>
  <c r="M24" i="7"/>
  <c r="N24" i="7" s="1"/>
  <c r="O24" i="7" s="1"/>
  <c r="M25" i="7"/>
  <c r="N25" i="7" s="1"/>
  <c r="O25" i="7" s="1"/>
  <c r="M26" i="7"/>
  <c r="N26" i="7"/>
  <c r="O26" i="7" s="1"/>
  <c r="M27" i="7"/>
  <c r="N27" i="7"/>
  <c r="O27" i="7"/>
  <c r="M28" i="7"/>
  <c r="N28" i="7" s="1"/>
  <c r="O28" i="7" s="1"/>
  <c r="M29" i="7"/>
  <c r="N29" i="7" s="1"/>
  <c r="O29" i="7" s="1"/>
  <c r="M30" i="7"/>
  <c r="N30" i="7"/>
  <c r="O30" i="7" s="1"/>
  <c r="O3" i="7"/>
  <c r="N3" i="7"/>
  <c r="M3" i="7"/>
  <c r="L82" i="7"/>
  <c r="L85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30" i="7"/>
  <c r="L35" i="7"/>
  <c r="L36" i="7"/>
  <c r="L37" i="7"/>
  <c r="L38" i="7"/>
  <c r="L39" i="7"/>
  <c r="L40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9" i="7"/>
  <c r="L60" i="7"/>
  <c r="L61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9" i="7"/>
  <c r="L80" i="7"/>
  <c r="L81" i="7"/>
  <c r="L83" i="7"/>
  <c r="L84" i="7"/>
  <c r="L86" i="7"/>
  <c r="L87" i="7"/>
  <c r="L88" i="7"/>
  <c r="L89" i="7"/>
  <c r="L90" i="7"/>
  <c r="L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30" i="7"/>
  <c r="K35" i="7"/>
  <c r="K36" i="7"/>
  <c r="K37" i="7"/>
  <c r="K38" i="7"/>
  <c r="K39" i="7"/>
  <c r="K40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9" i="7"/>
  <c r="K80" i="7"/>
  <c r="K81" i="7"/>
  <c r="K82" i="7"/>
  <c r="K83" i="7"/>
  <c r="K84" i="7"/>
  <c r="K85" i="7"/>
  <c r="K86" i="7"/>
  <c r="K87" i="7"/>
  <c r="K88" i="7"/>
  <c r="K89" i="7"/>
  <c r="K90" i="7"/>
  <c r="K3" i="7"/>
  <c r="M40" i="6"/>
  <c r="N40" i="6" s="1"/>
  <c r="O40" i="6" s="1"/>
  <c r="M32" i="6"/>
  <c r="N32" i="6" s="1"/>
  <c r="O32" i="6" s="1"/>
  <c r="M4" i="6"/>
  <c r="N4" i="6" s="1"/>
  <c r="O4" i="6" s="1"/>
  <c r="K40" i="6"/>
  <c r="K7" i="6"/>
  <c r="M7" i="6" s="1"/>
  <c r="N7" i="6" s="1"/>
  <c r="O7" i="6" s="1"/>
  <c r="K10" i="6"/>
  <c r="M10" i="6" s="1"/>
  <c r="N10" i="6" s="1"/>
  <c r="O10" i="6" s="1"/>
  <c r="K11" i="6"/>
  <c r="M11" i="6" s="1"/>
  <c r="N11" i="6" s="1"/>
  <c r="O11" i="6" s="1"/>
  <c r="K12" i="6"/>
  <c r="M12" i="6" s="1"/>
  <c r="N12" i="6" s="1"/>
  <c r="O12" i="6" s="1"/>
  <c r="K13" i="6"/>
  <c r="M13" i="6" s="1"/>
  <c r="N13" i="6" s="1"/>
  <c r="O13" i="6" s="1"/>
  <c r="K14" i="6"/>
  <c r="M14" i="6" s="1"/>
  <c r="N14" i="6" s="1"/>
  <c r="O14" i="6" s="1"/>
  <c r="K15" i="6"/>
  <c r="M15" i="6" s="1"/>
  <c r="N15" i="6" s="1"/>
  <c r="O15" i="6" s="1"/>
  <c r="K16" i="6"/>
  <c r="M16" i="6" s="1"/>
  <c r="N16" i="6" s="1"/>
  <c r="O16" i="6" s="1"/>
  <c r="K17" i="6"/>
  <c r="M17" i="6" s="1"/>
  <c r="N17" i="6" s="1"/>
  <c r="O17" i="6" s="1"/>
  <c r="K18" i="6"/>
  <c r="M18" i="6" s="1"/>
  <c r="N18" i="6" s="1"/>
  <c r="O18" i="6" s="1"/>
  <c r="K19" i="6"/>
  <c r="M19" i="6" s="1"/>
  <c r="N19" i="6" s="1"/>
  <c r="O19" i="6" s="1"/>
  <c r="K20" i="6"/>
  <c r="M20" i="6" s="1"/>
  <c r="N20" i="6" s="1"/>
  <c r="O20" i="6" s="1"/>
  <c r="K21" i="6"/>
  <c r="M21" i="6" s="1"/>
  <c r="N21" i="6" s="1"/>
  <c r="O21" i="6" s="1"/>
  <c r="K22" i="6"/>
  <c r="M22" i="6" s="1"/>
  <c r="N22" i="6" s="1"/>
  <c r="O22" i="6" s="1"/>
  <c r="K23" i="6"/>
  <c r="M23" i="6" s="1"/>
  <c r="N23" i="6" s="1"/>
  <c r="O23" i="6" s="1"/>
  <c r="K24" i="6"/>
  <c r="M24" i="6" s="1"/>
  <c r="N24" i="6" s="1"/>
  <c r="O24" i="6" s="1"/>
  <c r="K25" i="6"/>
  <c r="M25" i="6" s="1"/>
  <c r="N25" i="6" s="1"/>
  <c r="O25" i="6" s="1"/>
  <c r="K26" i="6"/>
  <c r="M26" i="6" s="1"/>
  <c r="N26" i="6" s="1"/>
  <c r="O26" i="6" s="1"/>
  <c r="K31" i="6"/>
  <c r="M31" i="6" s="1"/>
  <c r="N31" i="6" s="1"/>
  <c r="O31" i="6" s="1"/>
  <c r="K32" i="6"/>
  <c r="K33" i="6"/>
  <c r="M33" i="6" s="1"/>
  <c r="N33" i="6" s="1"/>
  <c r="O33" i="6" s="1"/>
  <c r="K34" i="6"/>
  <c r="M34" i="6" s="1"/>
  <c r="N34" i="6" s="1"/>
  <c r="O34" i="6" s="1"/>
  <c r="K35" i="6"/>
  <c r="M35" i="6" s="1"/>
  <c r="N35" i="6" s="1"/>
  <c r="O35" i="6" s="1"/>
  <c r="K41" i="6"/>
  <c r="M41" i="6" s="1"/>
  <c r="N41" i="6" s="1"/>
  <c r="O41" i="6" s="1"/>
  <c r="K42" i="6"/>
  <c r="M42" i="6" s="1"/>
  <c r="N42" i="6" s="1"/>
  <c r="O42" i="6" s="1"/>
  <c r="K43" i="6"/>
  <c r="M43" i="6" s="1"/>
  <c r="N43" i="6" s="1"/>
  <c r="O43" i="6" s="1"/>
  <c r="K44" i="6"/>
  <c r="M44" i="6" s="1"/>
  <c r="N44" i="6" s="1"/>
  <c r="O44" i="6" s="1"/>
  <c r="K4" i="6"/>
  <c r="O85" i="7" l="1"/>
  <c r="O58" i="7"/>
</calcChain>
</file>

<file path=xl/sharedStrings.xml><?xml version="1.0" encoding="utf-8"?>
<sst xmlns="http://schemas.openxmlformats.org/spreadsheetml/2006/main" count="363" uniqueCount="50">
  <si>
    <t>POLÍN</t>
  </si>
  <si>
    <t>P1</t>
  </si>
  <si>
    <t>P2</t>
  </si>
  <si>
    <t>P3</t>
  </si>
  <si>
    <t>P4</t>
  </si>
  <si>
    <t>P5</t>
  </si>
  <si>
    <t>P6</t>
  </si>
  <si>
    <t>EQUIPO</t>
  </si>
  <si>
    <t>OBSERVACIONES</t>
  </si>
  <si>
    <t>MEDIO</t>
  </si>
  <si>
    <t>INACCESIBLE</t>
  </si>
  <si>
    <t>2DO GRUPO</t>
  </si>
  <si>
    <t>1ER GRUPO</t>
  </si>
  <si>
    <t>3ER GRUPO</t>
  </si>
  <si>
    <t>CRÍTICO</t>
  </si>
  <si>
    <t>ESTADO</t>
  </si>
  <si>
    <t>ACEPTABLE</t>
  </si>
  <si>
    <t>Se recomienda mantenimiento</t>
  </si>
  <si>
    <t>Equipo en estado operativo y óptimo</t>
  </si>
  <si>
    <t>CANTIDAD</t>
  </si>
  <si>
    <t>SECADORES</t>
  </si>
  <si>
    <t>TOTAL</t>
  </si>
  <si>
    <t>CALIBRADOR P1</t>
  </si>
  <si>
    <t>CALIBRADOR P2</t>
  </si>
  <si>
    <t>CALIBRADOR P3</t>
  </si>
  <si>
    <t>NOMINAL</t>
  </si>
  <si>
    <t>lmax</t>
  </si>
  <si>
    <t>KRAUTKRAMMER</t>
  </si>
  <si>
    <t>SEGUNDO GRUPO SECADORES</t>
  </si>
  <si>
    <t>PRIMER GRUPO SECADORES</t>
  </si>
  <si>
    <t>TERCER GRUPO SECADORES</t>
  </si>
  <si>
    <t>217 m</t>
  </si>
  <si>
    <t>MÍNIMO</t>
  </si>
  <si>
    <t>MÁXIMO</t>
  </si>
  <si>
    <t>POLÍN IPSA</t>
  </si>
  <si>
    <t>KRAUTKRAMMER P1</t>
  </si>
  <si>
    <t>KRAUTKRAMMER P2</t>
  </si>
  <si>
    <t>KRAUTKRAMMER P3</t>
  </si>
  <si>
    <t>KRAUTKRAMMER P4</t>
  </si>
  <si>
    <t>KRAUTKRAMMER P5</t>
  </si>
  <si>
    <t>Sc</t>
  </si>
  <si>
    <t>Cubierto de ebonita</t>
  </si>
  <si>
    <t>2° Imagen: Segundo grupo de secadores</t>
  </si>
  <si>
    <t>1° Imagen: Primer grupo de secadores</t>
  </si>
  <si>
    <t>3° Imagen: Tercer grupo de secadores</t>
  </si>
  <si>
    <t>prom</t>
  </si>
  <si>
    <t>nominal</t>
  </si>
  <si>
    <t>maximo</t>
  </si>
  <si>
    <t>minimo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</si>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</sst>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3.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 indent="1" readingOrder="1"/>
    </xf>
    <xf numFmtId="0" fontId="5" fillId="0" borderId="6" xfId="0" applyFont="1" applyBorder="1" applyAlignment="1">
      <alignment horizontal="left" vertical="center" wrapText="1" indent="1" readingOrder="1"/>
    </xf>
    <xf numFmtId="0" fontId="6" fillId="0" borderId="6" xfId="0" applyFont="1" applyBorder="1" applyAlignment="1">
      <alignment horizontal="right" vertical="center" wrapText="1" indent="1" readingOrder="1"/>
    </xf>
    <xf numFmtId="0" fontId="5" fillId="0" borderId="6" xfId="0" applyFont="1" applyBorder="1" applyAlignment="1">
      <alignment horizontal="right" vertical="center" wrapText="1" indent="1" readingOrder="1"/>
    </xf>
    <xf numFmtId="164" fontId="5" fillId="0" borderId="6" xfId="0" applyNumberFormat="1" applyFont="1" applyBorder="1" applyAlignment="1">
      <alignment horizontal="left" vertical="center" wrapText="1" indent="1" readingOrder="1"/>
    </xf>
    <xf numFmtId="0" fontId="6" fillId="0" borderId="10" xfId="0" applyFont="1" applyBorder="1" applyAlignment="1">
      <alignment vertical="center" wrapText="1" readingOrder="1"/>
    </xf>
    <xf numFmtId="0" fontId="6" fillId="0" borderId="8" xfId="0" applyFont="1" applyBorder="1" applyAlignment="1">
      <alignment horizontal="center" vertical="center" wrapText="1" readingOrder="1"/>
    </xf>
    <xf numFmtId="0" fontId="0" fillId="0" borderId="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3" fillId="0" borderId="2" xfId="0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left" vertical="center" wrapText="1" indent="1" readingOrder="1"/>
    </xf>
    <xf numFmtId="0" fontId="3" fillId="0" borderId="0" xfId="0" applyFont="1"/>
    <xf numFmtId="0" fontId="6" fillId="0" borderId="7" xfId="0" applyFont="1" applyBorder="1" applyAlignment="1">
      <alignment horizontal="center" vertical="center" wrapText="1" readingOrder="1"/>
    </xf>
    <xf numFmtId="0" fontId="6" fillId="0" borderId="8" xfId="0" applyFont="1" applyBorder="1" applyAlignment="1">
      <alignment horizontal="center" vertical="center" wrapText="1" readingOrder="1"/>
    </xf>
    <xf numFmtId="0" fontId="6" fillId="0" borderId="9" xfId="0" applyFont="1" applyBorder="1" applyAlignment="1">
      <alignment horizontal="center" vertical="center" wrapText="1" readingOrder="1"/>
    </xf>
    <xf numFmtId="0" fontId="6" fillId="0" borderId="10" xfId="0" applyFont="1" applyBorder="1" applyAlignment="1">
      <alignment horizontal="center" vertical="center" wrapText="1" readingOrder="1"/>
    </xf>
    <xf numFmtId="0" fontId="6" fillId="0" borderId="11" xfId="0" applyFont="1" applyBorder="1" applyAlignment="1">
      <alignment horizontal="center" vertical="center" wrapText="1" readingOrder="1"/>
    </xf>
    <xf numFmtId="0" fontId="7" fillId="0" borderId="0" xfId="0" applyFont="1" applyAlignment="1">
      <alignment vertical="center"/>
    </xf>
    <xf numFmtId="0" fontId="6" fillId="0" borderId="12" xfId="0" applyFont="1" applyFill="1" applyBorder="1" applyAlignment="1">
      <alignment horizontal="left" vertical="center" wrapText="1" indent="1" readingOrder="1"/>
    </xf>
    <xf numFmtId="0" fontId="0" fillId="3" borderId="0" xfId="0" applyFill="1"/>
    <xf numFmtId="0" fontId="6" fillId="3" borderId="6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24">
    <dxf>
      <fill>
        <patternFill patternType="gray125">
          <fgColor theme="9"/>
          <bgColor rgb="FF92D050"/>
        </patternFill>
      </fill>
    </dxf>
    <dxf>
      <fill>
        <patternFill patternType="mediumGray">
          <fgColor theme="7" tint="0.59996337778862885"/>
          <bgColor rgb="FFFFFF00"/>
        </patternFill>
      </fill>
    </dxf>
    <dxf>
      <font>
        <b/>
        <i val="0"/>
        <color theme="0"/>
      </font>
      <fill>
        <patternFill patternType="lightDown">
          <fgColor rgb="FFFF0000"/>
          <bgColor rgb="FFFF0000"/>
        </patternFill>
      </fill>
    </dxf>
    <dxf>
      <fill>
        <patternFill patternType="gray125">
          <fgColor theme="9"/>
          <bgColor rgb="FF92D050"/>
        </patternFill>
      </fill>
    </dxf>
    <dxf>
      <fill>
        <patternFill patternType="mediumGray">
          <fgColor theme="7" tint="0.59996337778862885"/>
          <bgColor rgb="FFFFFF00"/>
        </patternFill>
      </fill>
    </dxf>
    <dxf>
      <font>
        <b/>
        <i val="0"/>
        <color theme="0"/>
      </font>
      <fill>
        <patternFill patternType="lightDown">
          <fgColor rgb="FFFF0000"/>
          <bgColor rgb="FFFF0000"/>
        </patternFill>
      </fill>
    </dxf>
    <dxf>
      <fill>
        <patternFill patternType="gray125">
          <fgColor theme="9"/>
          <bgColor rgb="FF92D050"/>
        </patternFill>
      </fill>
    </dxf>
    <dxf>
      <fill>
        <patternFill patternType="mediumGray">
          <fgColor theme="7" tint="0.59996337778862885"/>
          <bgColor rgb="FFFFFF00"/>
        </patternFill>
      </fill>
    </dxf>
    <dxf>
      <font>
        <b/>
        <i val="0"/>
        <color theme="0"/>
      </font>
      <fill>
        <patternFill patternType="lightDown">
          <fgColor rgb="FFFF0000"/>
          <bgColor rgb="FFFF0000"/>
        </patternFill>
      </fill>
    </dxf>
    <dxf>
      <fill>
        <patternFill patternType="gray125">
          <fgColor theme="9"/>
          <bgColor rgb="FF92D050"/>
        </patternFill>
      </fill>
    </dxf>
    <dxf>
      <fill>
        <patternFill patternType="mediumGray">
          <fgColor theme="7" tint="0.59996337778862885"/>
          <bgColor rgb="FFFFFF00"/>
        </patternFill>
      </fill>
    </dxf>
    <dxf>
      <font>
        <b/>
        <i val="0"/>
        <color theme="0"/>
      </font>
      <fill>
        <patternFill patternType="lightDown">
          <fgColor rgb="FFFF0000"/>
          <bgColor rgb="FFFF0000"/>
        </patternFill>
      </fill>
    </dxf>
    <dxf>
      <font>
        <b val="0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bg1"/>
                </a:solidFill>
              </a:rPr>
              <a:t>DIAGRAMA PASTEL</a:t>
            </a:r>
          </a:p>
          <a:p>
            <a:pPr>
              <a:defRPr sz="1200">
                <a:solidFill>
                  <a:schemeClr val="bg1"/>
                </a:solidFill>
              </a:defRPr>
            </a:pPr>
            <a:r>
              <a:rPr lang="en-US" sz="1200">
                <a:solidFill>
                  <a:schemeClr val="bg1"/>
                </a:solidFill>
              </a:rPr>
              <a:t>DISTRIBUCIÓN DE POLINES SEGÚN ESTADO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RESUMEN!$B$9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A042-4B30-9FE0-A7E58E087467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A042-4B30-9FE0-A7E58E087467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A042-4B30-9FE0-A7E58E087467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A042-4B30-9FE0-A7E58E0874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RESUMEN!$A$10:$A$13</c:f>
              <c:strCache>
                <c:ptCount val="4"/>
                <c:pt idx="0">
                  <c:v>ACEPTABLE</c:v>
                </c:pt>
                <c:pt idx="1">
                  <c:v>MEDIO</c:v>
                </c:pt>
                <c:pt idx="2">
                  <c:v>INACCESIBLE</c:v>
                </c:pt>
                <c:pt idx="3">
                  <c:v>CRÍTICO</c:v>
                </c:pt>
              </c:strCache>
            </c:strRef>
          </c:cat>
          <c:val>
            <c:numRef>
              <c:f>RESUMEN!$B$10:$B$13</c:f>
              <c:numCache>
                <c:formatCode>General</c:formatCode>
                <c:ptCount val="4"/>
                <c:pt idx="0">
                  <c:v>65</c:v>
                </c:pt>
                <c:pt idx="1">
                  <c:v>14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6C-4DA5-9CF4-02C9B589A80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139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892871391076108"/>
          <c:y val="0.30866479527896851"/>
          <c:w val="0.25507128608923885"/>
          <c:h val="0.418277445049098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pattFill prst="pct90">
      <a:fgClr>
        <a:schemeClr val="accent1"/>
      </a:fgClr>
      <a:bgClr>
        <a:schemeClr val="bg1"/>
      </a:bgClr>
    </a:patt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s-ES" sz="1500" b="1" i="0" u="none" strike="noStrike" cap="all" spc="100" baseline="0">
                <a:solidFill>
                  <a:sysClr val="window" lastClr="FFFFFF"/>
                </a:solidFill>
                <a:latin typeface="Calibri" panose="020F0502020204030204"/>
              </a:rPr>
              <a:t>diagrama de pareto</a:t>
            </a:r>
          </a:p>
          <a:p>
            <a:pPr algn="ctr" rtl="0">
              <a:defRPr/>
            </a:pPr>
            <a:r>
              <a:rPr lang="es-ES" sz="1500" b="1" i="0" u="none" strike="noStrike" cap="all" spc="100" baseline="0">
                <a:solidFill>
                  <a:sysClr val="window" lastClr="FFFFFF"/>
                </a:solidFill>
                <a:latin typeface="Calibri" panose="020F0502020204030204"/>
              </a:rPr>
              <a:t>histograma de polines según estado</a:t>
            </a:r>
          </a:p>
        </cx:rich>
      </cx:tx>
    </cx:title>
    <cx:plotArea>
      <cx:plotAreaRegion>
        <cx:series layoutId="clusteredColumn" uniqueId="{91EC5CB7-CD50-45D1-8540-792214CD146D}">
          <cx:tx>
            <cx:txData>
              <cx:f>_xlchart.v1.2</cx:f>
              <cx:v>CANTIDAD</cx:v>
            </cx:txData>
          </cx:tx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chemeClr val="bg1"/>
                    </a:solidFill>
                  </a:defRPr>
                </a:pPr>
                <a:endParaRPr lang="es-ES" sz="900" b="1" i="0" u="none" strike="noStrike" baseline="0">
                  <a:solidFill>
                    <a:schemeClr val="bg1"/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aggregation/>
          </cx:layoutPr>
          <cx:axisId val="1"/>
        </cx:series>
        <cx:series layoutId="paretoLine" ownerIdx="0" uniqueId="{EDA23433-66E8-4C9E-BE49-643DA631AFDC}">
          <cx:axisId val="2"/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endParaRPr lang="es-ES" sz="800" b="1" i="0" u="none" strike="noStrike" baseline="0">
              <a:solidFill>
                <a:sysClr val="window" lastClr="FFFFFF"/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1">
  <cs:axisTitle>
    <cs:lnRef idx="0"/>
    <cs:fillRef idx="0"/>
    <cs:effectRef idx="0"/>
    <cs:fontRef idx="minor">
      <a:schemeClr val="lt1"/>
    </cs:fontRef>
    <cs:defRPr sz="9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/>
    <cs:bodyPr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/>
  </cs:chartArea>
  <cs:dataLabel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  <a:ln w="9525"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lt1">
            <a:alpha val="2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500" b="1" cap="all" spc="100"/>
    <cs:bodyPr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lt1"/>
        </a:solidFill>
        <a:prstDash val="sysDash"/>
      </a:ln>
    </cs:spPr>
  </cs:trendline>
  <cs:trendlineLabel>
    <cs:lnRef idx="0"/>
    <cs:fillRef idx="0"/>
    <cs:effectRef idx="0"/>
    <cs:fontRef idx="minor">
      <a:schemeClr val="lt1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/>
    </cs:fontRef>
    <cs:defRPr sz="9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81</xdr:row>
      <xdr:rowOff>0</xdr:rowOff>
    </xdr:from>
    <xdr:to>
      <xdr:col>10</xdr:col>
      <xdr:colOff>367352</xdr:colOff>
      <xdr:row>113</xdr:row>
      <xdr:rowOff>48872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C7084F4-C5B4-43F4-A901-6A2B536C8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681882"/>
          <a:ext cx="10766411" cy="5786283"/>
        </a:xfrm>
        <a:prstGeom prst="rect">
          <a:avLst/>
        </a:prstGeom>
        <a:ln w="12700">
          <a:solidFill>
            <a:srgbClr val="002060"/>
          </a:solidFill>
        </a:ln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10</xdr:col>
      <xdr:colOff>372795</xdr:colOff>
      <xdr:row>148</xdr:row>
      <xdr:rowOff>72379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F9D5F13-304C-4E1C-AE22-84E47690E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729857"/>
          <a:ext cx="10827214" cy="6179265"/>
        </a:xfrm>
        <a:prstGeom prst="rect">
          <a:avLst/>
        </a:prstGeom>
        <a:ln w="12700">
          <a:solidFill>
            <a:srgbClr val="002060"/>
          </a:solidFill>
        </a:ln>
      </xdr:spPr>
    </xdr:pic>
    <xdr:clientData/>
  </xdr:twoCellAnchor>
  <xdr:twoCellAnchor editAs="oneCell">
    <xdr:from>
      <xdr:col>0</xdr:col>
      <xdr:colOff>32657</xdr:colOff>
      <xdr:row>150</xdr:row>
      <xdr:rowOff>21772</xdr:rowOff>
    </xdr:from>
    <xdr:to>
      <xdr:col>10</xdr:col>
      <xdr:colOff>378238</xdr:colOff>
      <xdr:row>183</xdr:row>
      <xdr:rowOff>174218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660E98E-FEEF-4395-B8B1-0B05726E2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657" y="22228629"/>
          <a:ext cx="10800000" cy="6259332"/>
        </a:xfrm>
        <a:prstGeom prst="rect">
          <a:avLst/>
        </a:prstGeom>
        <a:ln w="12700">
          <a:solidFill>
            <a:srgbClr val="00206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163830</xdr:rowOff>
    </xdr:from>
    <xdr:to>
      <xdr:col>6</xdr:col>
      <xdr:colOff>7620</xdr:colOff>
      <xdr:row>30</xdr:row>
      <xdr:rowOff>15240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05B81A-6B0F-47E4-8D0F-4D8599ECA9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784860</xdr:colOff>
      <xdr:row>13</xdr:row>
      <xdr:rowOff>179070</xdr:rowOff>
    </xdr:from>
    <xdr:to>
      <xdr:col>13</xdr:col>
      <xdr:colOff>15240</xdr:colOff>
      <xdr:row>30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73D2EDD2-F76A-4F63-8F8C-AD08ADA409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39740" y="2556510"/>
              <a:ext cx="4777740" cy="29375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985E3E-1410-4284-B384-CF5814E78F78}" name="Tabla15" displayName="Tabla15" ref="A1:J80" totalsRowShown="0" headerRowDxfId="23" dataDxfId="22">
  <autoFilter ref="A1:J80" xr:uid="{92985E3E-1410-4284-B384-CF5814E78F78}"/>
  <tableColumns count="10">
    <tableColumn id="1" xr3:uid="{81E75F3A-C940-42B5-9CF4-F7C1FA618505}" name="EQUIPO" dataDxfId="21"/>
    <tableColumn id="11" xr3:uid="{3945FD86-2415-409E-A9AE-976E5BEF2A58}" name="POLÍN IPSA" dataDxfId="20"/>
    <tableColumn id="4" xr3:uid="{DF9E603C-C584-4017-BFE7-BCB539EBEE8B}" name="P1" dataDxfId="19"/>
    <tableColumn id="5" xr3:uid="{6686F803-E667-41C1-8FE7-7EC83F3CFAE9}" name="P2" dataDxfId="18"/>
    <tableColumn id="6" xr3:uid="{C0DAF0BF-5AC2-4BBF-B882-4FC697CBE467}" name="P3" dataDxfId="17"/>
    <tableColumn id="7" xr3:uid="{35E59FE6-5407-45B5-9FAF-7A8B9E59328D}" name="P4" dataDxfId="16"/>
    <tableColumn id="8" xr3:uid="{9C9677D7-D4C0-4BBB-ABF2-67C1D38AAF45}" name="P5" dataDxfId="15"/>
    <tableColumn id="9" xr3:uid="{6CE8525B-FC81-4CD8-9712-B88283B35625}" name="P6" dataDxfId="14"/>
    <tableColumn id="10" xr3:uid="{CEAAD846-0A3C-4093-B4D6-229091936394}" name="OBSERVACIONES" dataDxfId="13"/>
    <tableColumn id="12" xr3:uid="{DD4324D4-E6C9-443F-93B3-4B1B312868D8}" name="ESTADO" dataDxfId="1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C366D-C3B1-48D9-9C48-D0B4527F40BB}">
  <dimension ref="A1:M80"/>
  <sheetViews>
    <sheetView tabSelected="1" zoomScale="85" zoomScaleNormal="85" workbookViewId="0">
      <selection activeCell="J3" sqref="J3"/>
    </sheetView>
  </sheetViews>
  <sheetFormatPr baseColWidth="10" defaultRowHeight="14.4" x14ac:dyDescent="0.3"/>
  <cols>
    <col min="9" max="9" width="46.109375" customWidth="1"/>
    <col min="10" max="10" width="13.44140625" style="19" bestFit="1" customWidth="1"/>
    <col min="12" max="12" width="11.88671875" bestFit="1" customWidth="1"/>
  </cols>
  <sheetData>
    <row r="1" spans="1:13" x14ac:dyDescent="0.3">
      <c r="A1" s="1" t="s">
        <v>7</v>
      </c>
      <c r="B1" s="1" t="s">
        <v>34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7" t="s">
        <v>15</v>
      </c>
    </row>
    <row r="2" spans="1:13" x14ac:dyDescent="0.3">
      <c r="A2" s="1" t="s">
        <v>12</v>
      </c>
      <c r="B2" s="1">
        <v>1</v>
      </c>
      <c r="C2" s="1">
        <v>8.76</v>
      </c>
      <c r="D2" s="1">
        <v>10.14</v>
      </c>
      <c r="E2" s="1">
        <v>8.18</v>
      </c>
      <c r="F2" s="1">
        <v>9.59</v>
      </c>
      <c r="G2" s="1">
        <v>9.83</v>
      </c>
      <c r="H2" s="1">
        <v>9.43</v>
      </c>
      <c r="I2" s="1" t="s">
        <v>18</v>
      </c>
      <c r="J2" s="3" t="s">
        <v>16</v>
      </c>
      <c r="L2" s="7" t="s">
        <v>15</v>
      </c>
      <c r="M2" s="4" t="s">
        <v>19</v>
      </c>
    </row>
    <row r="3" spans="1:13" x14ac:dyDescent="0.3">
      <c r="A3" s="1" t="s">
        <v>12</v>
      </c>
      <c r="B3" s="1">
        <v>2</v>
      </c>
      <c r="C3" s="1">
        <v>9.4</v>
      </c>
      <c r="D3" s="1">
        <v>8.65</v>
      </c>
      <c r="E3" s="1">
        <v>8.83</v>
      </c>
      <c r="F3" s="1">
        <v>8.81</v>
      </c>
      <c r="G3" s="1">
        <v>8.52</v>
      </c>
      <c r="H3" s="1">
        <v>8.84</v>
      </c>
      <c r="I3" s="1" t="s">
        <v>18</v>
      </c>
      <c r="J3" s="3" t="s">
        <v>16</v>
      </c>
      <c r="L3" s="6" t="s">
        <v>16</v>
      </c>
      <c r="M3" s="2">
        <v>65</v>
      </c>
    </row>
    <row r="4" spans="1:13" x14ac:dyDescent="0.3">
      <c r="A4" s="1" t="s">
        <v>12</v>
      </c>
      <c r="B4" s="1">
        <v>3</v>
      </c>
      <c r="C4" s="1">
        <v>8.35</v>
      </c>
      <c r="D4" s="1">
        <v>8.33</v>
      </c>
      <c r="E4" s="1">
        <v>9.34</v>
      </c>
      <c r="F4" s="1">
        <v>9.48</v>
      </c>
      <c r="G4" s="1">
        <v>8.24</v>
      </c>
      <c r="H4" s="1">
        <v>8.75</v>
      </c>
      <c r="I4" s="1" t="s">
        <v>18</v>
      </c>
      <c r="J4" s="3" t="s">
        <v>16</v>
      </c>
      <c r="L4" s="5" t="s">
        <v>9</v>
      </c>
      <c r="M4" s="3">
        <v>14</v>
      </c>
    </row>
    <row r="5" spans="1:13" x14ac:dyDescent="0.3">
      <c r="A5" s="1" t="s">
        <v>12</v>
      </c>
      <c r="B5" s="1">
        <v>4</v>
      </c>
      <c r="C5" s="1">
        <v>12.62</v>
      </c>
      <c r="D5" s="1">
        <v>8.01</v>
      </c>
      <c r="E5" s="1">
        <v>12.24</v>
      </c>
      <c r="F5" s="1">
        <v>10.130000000000001</v>
      </c>
      <c r="G5" s="1">
        <v>9.0299999999999994</v>
      </c>
      <c r="H5" s="1">
        <v>10.06</v>
      </c>
      <c r="I5" s="1" t="s">
        <v>18</v>
      </c>
      <c r="J5" s="3" t="s">
        <v>16</v>
      </c>
      <c r="L5" s="5" t="s">
        <v>10</v>
      </c>
      <c r="M5" s="3">
        <v>0</v>
      </c>
    </row>
    <row r="6" spans="1:13" x14ac:dyDescent="0.3">
      <c r="A6" s="1" t="s">
        <v>12</v>
      </c>
      <c r="B6" s="1">
        <v>5</v>
      </c>
      <c r="C6" s="1">
        <v>9.1199999999999992</v>
      </c>
      <c r="D6" s="1">
        <v>11.24</v>
      </c>
      <c r="E6" s="1">
        <v>10.72</v>
      </c>
      <c r="F6" s="1">
        <v>11.35</v>
      </c>
      <c r="G6" s="1">
        <v>11.65</v>
      </c>
      <c r="H6" s="1">
        <v>10.81</v>
      </c>
      <c r="I6" s="1" t="s">
        <v>18</v>
      </c>
      <c r="J6" s="3" t="s">
        <v>16</v>
      </c>
      <c r="L6" s="5" t="s">
        <v>14</v>
      </c>
      <c r="M6" s="3">
        <v>0</v>
      </c>
    </row>
    <row r="7" spans="1:13" x14ac:dyDescent="0.3">
      <c r="A7" s="1" t="s">
        <v>12</v>
      </c>
      <c r="B7" s="1">
        <v>6</v>
      </c>
      <c r="C7" s="1">
        <v>8.83</v>
      </c>
      <c r="D7" s="1">
        <v>11.85</v>
      </c>
      <c r="E7" s="1">
        <v>9.35</v>
      </c>
      <c r="F7" s="1">
        <v>8.8800000000000008</v>
      </c>
      <c r="G7" s="1">
        <v>9.07</v>
      </c>
      <c r="H7" s="1">
        <v>9.6</v>
      </c>
      <c r="I7" s="1" t="s">
        <v>18</v>
      </c>
      <c r="J7" s="3" t="s">
        <v>16</v>
      </c>
    </row>
    <row r="8" spans="1:13" x14ac:dyDescent="0.3">
      <c r="A8" s="1" t="s">
        <v>12</v>
      </c>
      <c r="B8" s="1">
        <v>7</v>
      </c>
      <c r="C8" s="1">
        <v>11.02</v>
      </c>
      <c r="D8" s="1">
        <v>11.85</v>
      </c>
      <c r="E8" s="1">
        <v>8.4</v>
      </c>
      <c r="F8" s="1">
        <v>9.4</v>
      </c>
      <c r="G8" s="1">
        <v>8.36</v>
      </c>
      <c r="H8" s="1">
        <v>9.74</v>
      </c>
      <c r="I8" s="1" t="s">
        <v>18</v>
      </c>
      <c r="J8" s="3" t="s">
        <v>16</v>
      </c>
    </row>
    <row r="9" spans="1:13" x14ac:dyDescent="0.3">
      <c r="A9" s="1" t="s">
        <v>12</v>
      </c>
      <c r="B9" s="1">
        <v>8</v>
      </c>
      <c r="C9" s="1">
        <v>10.29</v>
      </c>
      <c r="D9" s="1">
        <v>9.6</v>
      </c>
      <c r="E9" s="1">
        <v>8.7100000000000009</v>
      </c>
      <c r="F9" s="1">
        <v>8.94</v>
      </c>
      <c r="G9" s="1">
        <v>8.4700000000000006</v>
      </c>
      <c r="H9" s="1">
        <v>9.3800000000000008</v>
      </c>
      <c r="I9" s="1" t="s">
        <v>18</v>
      </c>
      <c r="J9" s="3" t="s">
        <v>16</v>
      </c>
    </row>
    <row r="10" spans="1:13" x14ac:dyDescent="0.3">
      <c r="A10" s="1" t="s">
        <v>12</v>
      </c>
      <c r="B10" s="1">
        <v>9</v>
      </c>
      <c r="C10" s="1">
        <v>9.5399999999999991</v>
      </c>
      <c r="D10" s="1">
        <v>8.59</v>
      </c>
      <c r="E10" s="1">
        <v>8.0399999999999991</v>
      </c>
      <c r="F10" s="1">
        <v>8.3000000000000007</v>
      </c>
      <c r="G10" s="1">
        <v>8.3000000000000007</v>
      </c>
      <c r="H10" s="1">
        <v>9.8000000000000007</v>
      </c>
      <c r="I10" s="1" t="s">
        <v>18</v>
      </c>
      <c r="J10" s="3" t="s">
        <v>16</v>
      </c>
    </row>
    <row r="11" spans="1:13" x14ac:dyDescent="0.3">
      <c r="A11" s="1" t="s">
        <v>12</v>
      </c>
      <c r="B11" s="1">
        <v>10</v>
      </c>
      <c r="C11" s="1">
        <v>8.42</v>
      </c>
      <c r="D11" s="1">
        <v>8.17</v>
      </c>
      <c r="E11" s="1">
        <v>8.4700000000000006</v>
      </c>
      <c r="F11" s="1">
        <v>8.5299999999999994</v>
      </c>
      <c r="G11" s="1">
        <v>8.56</v>
      </c>
      <c r="H11" s="1">
        <v>8.82</v>
      </c>
      <c r="I11" s="1" t="s">
        <v>18</v>
      </c>
      <c r="J11" s="3" t="s">
        <v>16</v>
      </c>
    </row>
    <row r="12" spans="1:13" x14ac:dyDescent="0.3">
      <c r="A12" s="1" t="s">
        <v>12</v>
      </c>
      <c r="B12" s="1">
        <v>11</v>
      </c>
      <c r="C12" s="1">
        <v>9.23</v>
      </c>
      <c r="D12" s="1">
        <v>8.52</v>
      </c>
      <c r="E12" s="1">
        <v>8.33</v>
      </c>
      <c r="F12" s="1">
        <v>8.65</v>
      </c>
      <c r="G12" s="1">
        <v>7.99</v>
      </c>
      <c r="H12" s="1">
        <v>10.47</v>
      </c>
      <c r="I12" s="16" t="s">
        <v>17</v>
      </c>
      <c r="J12" s="2" t="s">
        <v>9</v>
      </c>
    </row>
    <row r="13" spans="1:13" x14ac:dyDescent="0.3">
      <c r="A13" s="1" t="s">
        <v>12</v>
      </c>
      <c r="B13" s="1">
        <v>12</v>
      </c>
      <c r="C13" s="1">
        <v>8.11</v>
      </c>
      <c r="D13" s="1">
        <v>8.06</v>
      </c>
      <c r="E13" s="1">
        <v>8.4700000000000006</v>
      </c>
      <c r="F13" s="1">
        <v>8.2899999999999991</v>
      </c>
      <c r="G13" s="1">
        <v>8.18</v>
      </c>
      <c r="H13" s="1">
        <v>10.15</v>
      </c>
      <c r="I13" s="1" t="s">
        <v>18</v>
      </c>
      <c r="J13" s="3" t="s">
        <v>16</v>
      </c>
    </row>
    <row r="14" spans="1:13" x14ac:dyDescent="0.3">
      <c r="A14" s="1" t="s">
        <v>12</v>
      </c>
      <c r="B14" s="1">
        <v>13</v>
      </c>
      <c r="C14" s="1">
        <v>8.64</v>
      </c>
      <c r="D14" s="1">
        <v>8.4</v>
      </c>
      <c r="E14" s="1">
        <v>8.27</v>
      </c>
      <c r="F14" s="1">
        <v>8.24</v>
      </c>
      <c r="G14" s="1">
        <v>8.24</v>
      </c>
      <c r="H14" s="1">
        <v>9.4600000000000009</v>
      </c>
      <c r="I14" s="1" t="s">
        <v>18</v>
      </c>
      <c r="J14" s="3" t="s">
        <v>16</v>
      </c>
    </row>
    <row r="15" spans="1:13" x14ac:dyDescent="0.3">
      <c r="A15" s="1" t="s">
        <v>12</v>
      </c>
      <c r="B15" s="1">
        <v>14</v>
      </c>
      <c r="C15" s="1">
        <v>8.1199999999999992</v>
      </c>
      <c r="D15" s="1">
        <v>8.4</v>
      </c>
      <c r="E15" s="1">
        <v>8.1</v>
      </c>
      <c r="F15" s="1">
        <v>8.44</v>
      </c>
      <c r="G15" s="1">
        <v>8.2799999999999994</v>
      </c>
      <c r="H15" s="1">
        <v>9.6199999999999992</v>
      </c>
      <c r="I15" s="1" t="s">
        <v>18</v>
      </c>
      <c r="J15" s="3" t="s">
        <v>16</v>
      </c>
    </row>
    <row r="16" spans="1:13" x14ac:dyDescent="0.3">
      <c r="A16" s="1" t="s">
        <v>12</v>
      </c>
      <c r="B16" s="1">
        <v>15</v>
      </c>
      <c r="C16" s="1">
        <v>8.35</v>
      </c>
      <c r="D16" s="1">
        <v>9.24</v>
      </c>
      <c r="E16" s="1">
        <v>8.65</v>
      </c>
      <c r="F16" s="1">
        <v>9.6300000000000008</v>
      </c>
      <c r="G16" s="1">
        <v>10.08</v>
      </c>
      <c r="H16" s="1">
        <v>10.96</v>
      </c>
      <c r="I16" s="1" t="s">
        <v>18</v>
      </c>
      <c r="J16" s="3" t="s">
        <v>16</v>
      </c>
    </row>
    <row r="17" spans="1:10" x14ac:dyDescent="0.3">
      <c r="A17" s="1" t="s">
        <v>12</v>
      </c>
      <c r="B17" s="1">
        <v>16</v>
      </c>
      <c r="C17" s="1">
        <v>8.4</v>
      </c>
      <c r="D17" s="1">
        <v>7.95</v>
      </c>
      <c r="E17" s="1">
        <v>7.98</v>
      </c>
      <c r="F17" s="1">
        <v>9.89</v>
      </c>
      <c r="G17" s="1">
        <v>9.7200000000000006</v>
      </c>
      <c r="H17" s="1">
        <v>9.6300000000000008</v>
      </c>
      <c r="I17" s="16" t="s">
        <v>17</v>
      </c>
      <c r="J17" s="2" t="s">
        <v>9</v>
      </c>
    </row>
    <row r="18" spans="1:10" x14ac:dyDescent="0.3">
      <c r="A18" s="1" t="s">
        <v>12</v>
      </c>
      <c r="B18" s="1">
        <v>17</v>
      </c>
      <c r="C18" s="1">
        <v>9.81</v>
      </c>
      <c r="D18" s="1">
        <v>8.51</v>
      </c>
      <c r="E18" s="1">
        <v>8.86</v>
      </c>
      <c r="F18" s="1">
        <v>8.89</v>
      </c>
      <c r="G18" s="1">
        <v>8.83</v>
      </c>
      <c r="H18" s="1">
        <v>9.98</v>
      </c>
      <c r="I18" s="1" t="s">
        <v>18</v>
      </c>
      <c r="J18" s="3" t="s">
        <v>16</v>
      </c>
    </row>
    <row r="19" spans="1:10" x14ac:dyDescent="0.3">
      <c r="A19" s="1" t="s">
        <v>12</v>
      </c>
      <c r="B19" s="1">
        <v>18</v>
      </c>
      <c r="C19" s="1">
        <v>8.02</v>
      </c>
      <c r="D19" s="1">
        <v>8.36</v>
      </c>
      <c r="E19" s="1">
        <v>7.98</v>
      </c>
      <c r="F19" s="1">
        <v>8.01</v>
      </c>
      <c r="G19" s="1">
        <v>8.7100000000000009</v>
      </c>
      <c r="H19" s="1">
        <v>9.19</v>
      </c>
      <c r="I19" s="16" t="s">
        <v>17</v>
      </c>
      <c r="J19" s="2" t="s">
        <v>9</v>
      </c>
    </row>
    <row r="20" spans="1:10" x14ac:dyDescent="0.3">
      <c r="A20" s="1" t="s">
        <v>12</v>
      </c>
      <c r="B20" s="1">
        <v>19</v>
      </c>
      <c r="C20" s="1">
        <v>9.07</v>
      </c>
      <c r="D20" s="1">
        <v>8.56</v>
      </c>
      <c r="E20" s="1">
        <v>9.1199999999999992</v>
      </c>
      <c r="F20" s="1">
        <v>8.3000000000000007</v>
      </c>
      <c r="G20" s="1">
        <v>8.5299999999999994</v>
      </c>
      <c r="H20" s="1">
        <v>9.43</v>
      </c>
      <c r="I20" s="1" t="s">
        <v>18</v>
      </c>
      <c r="J20" s="3" t="s">
        <v>16</v>
      </c>
    </row>
    <row r="21" spans="1:10" x14ac:dyDescent="0.3">
      <c r="A21" s="1" t="s">
        <v>12</v>
      </c>
      <c r="B21" s="1">
        <v>20</v>
      </c>
      <c r="C21" s="1">
        <v>8.17</v>
      </c>
      <c r="D21" s="1">
        <v>8.16</v>
      </c>
      <c r="E21" s="1">
        <v>8.06</v>
      </c>
      <c r="F21" s="1">
        <v>9</v>
      </c>
      <c r="G21" s="1">
        <v>9.0299999999999994</v>
      </c>
      <c r="H21" s="1">
        <v>10.64</v>
      </c>
      <c r="I21" s="1" t="s">
        <v>18</v>
      </c>
      <c r="J21" s="3" t="s">
        <v>16</v>
      </c>
    </row>
    <row r="22" spans="1:10" x14ac:dyDescent="0.3">
      <c r="A22" s="1" t="s">
        <v>12</v>
      </c>
      <c r="B22" s="1">
        <v>21</v>
      </c>
      <c r="C22" s="18">
        <v>8.51</v>
      </c>
      <c r="D22" s="18">
        <v>11.13</v>
      </c>
      <c r="E22" s="18">
        <v>8.1199999999999992</v>
      </c>
      <c r="F22" s="18">
        <v>10.16</v>
      </c>
      <c r="G22" s="18">
        <v>9.7799999999999994</v>
      </c>
      <c r="H22" s="18">
        <v>10.09</v>
      </c>
      <c r="I22" s="1" t="s">
        <v>18</v>
      </c>
      <c r="J22" s="3" t="s">
        <v>16</v>
      </c>
    </row>
    <row r="23" spans="1:10" x14ac:dyDescent="0.3">
      <c r="A23" s="1" t="s">
        <v>12</v>
      </c>
      <c r="B23" s="1">
        <v>22</v>
      </c>
      <c r="C23" s="1">
        <v>11.7</v>
      </c>
      <c r="D23" s="1">
        <v>8.9499999999999993</v>
      </c>
      <c r="E23" s="1">
        <v>8.6199999999999992</v>
      </c>
      <c r="F23" s="1">
        <v>11.83</v>
      </c>
      <c r="G23" s="1">
        <v>11.59</v>
      </c>
      <c r="H23" s="1">
        <v>9.9499999999999993</v>
      </c>
      <c r="I23" s="1" t="s">
        <v>18</v>
      </c>
      <c r="J23" s="3" t="s">
        <v>16</v>
      </c>
    </row>
    <row r="24" spans="1:10" x14ac:dyDescent="0.3">
      <c r="A24" s="1" t="s">
        <v>12</v>
      </c>
      <c r="B24" s="1">
        <v>23</v>
      </c>
      <c r="C24" s="1">
        <v>12.61</v>
      </c>
      <c r="D24" s="1">
        <v>12.55</v>
      </c>
      <c r="E24" s="1">
        <v>10.6</v>
      </c>
      <c r="F24" s="1">
        <v>9.73</v>
      </c>
      <c r="G24" s="1">
        <v>9.69</v>
      </c>
      <c r="H24" s="1">
        <v>10.17</v>
      </c>
      <c r="I24" s="1" t="s">
        <v>18</v>
      </c>
      <c r="J24" s="3" t="s">
        <v>16</v>
      </c>
    </row>
    <row r="25" spans="1:10" x14ac:dyDescent="0.3">
      <c r="A25" s="1" t="s">
        <v>12</v>
      </c>
      <c r="B25" s="1">
        <v>24</v>
      </c>
      <c r="C25" s="1">
        <v>9.32</v>
      </c>
      <c r="D25" s="1">
        <v>9.15</v>
      </c>
      <c r="E25" s="1">
        <v>10.41</v>
      </c>
      <c r="F25" s="1">
        <v>10.34</v>
      </c>
      <c r="G25" s="1">
        <v>10.17</v>
      </c>
      <c r="H25" s="1">
        <v>9.08</v>
      </c>
      <c r="I25" s="1" t="s">
        <v>18</v>
      </c>
      <c r="J25" s="3" t="s">
        <v>16</v>
      </c>
    </row>
    <row r="26" spans="1:10" x14ac:dyDescent="0.3">
      <c r="A26" s="1" t="s">
        <v>12</v>
      </c>
      <c r="B26" s="1">
        <v>25</v>
      </c>
      <c r="C26" s="1">
        <v>7.99</v>
      </c>
      <c r="D26" s="1">
        <v>9.01</v>
      </c>
      <c r="E26" s="1">
        <v>9.89</v>
      </c>
      <c r="F26" s="1">
        <v>9.56</v>
      </c>
      <c r="G26" s="1">
        <v>9.19</v>
      </c>
      <c r="H26" s="1">
        <v>9.82</v>
      </c>
      <c r="I26" s="16" t="s">
        <v>17</v>
      </c>
      <c r="J26" s="2" t="s">
        <v>9</v>
      </c>
    </row>
    <row r="27" spans="1:10" x14ac:dyDescent="0.3">
      <c r="A27" s="1" t="s">
        <v>12</v>
      </c>
      <c r="B27" s="1">
        <v>26</v>
      </c>
      <c r="C27" s="1">
        <v>10.35</v>
      </c>
      <c r="D27" s="1">
        <v>10.17</v>
      </c>
      <c r="E27" s="1">
        <v>10.49</v>
      </c>
      <c r="F27" s="1">
        <v>9.98</v>
      </c>
      <c r="G27" s="1">
        <v>10.029999999999999</v>
      </c>
      <c r="H27" s="1">
        <v>10.54</v>
      </c>
      <c r="I27" s="1" t="s">
        <v>18</v>
      </c>
      <c r="J27" s="3" t="s">
        <v>16</v>
      </c>
    </row>
    <row r="28" spans="1:10" x14ac:dyDescent="0.3">
      <c r="A28" s="1" t="s">
        <v>12</v>
      </c>
      <c r="B28" s="1">
        <v>28</v>
      </c>
      <c r="C28" s="1">
        <v>10.029999999999999</v>
      </c>
      <c r="D28" s="1">
        <v>10.72</v>
      </c>
      <c r="E28" s="1">
        <v>9.9600000000000009</v>
      </c>
      <c r="F28" s="1">
        <v>10.19</v>
      </c>
      <c r="G28" s="1">
        <v>10.26</v>
      </c>
      <c r="H28" s="1">
        <v>9.5</v>
      </c>
      <c r="I28" s="1" t="s">
        <v>18</v>
      </c>
      <c r="J28" s="3" t="s">
        <v>16</v>
      </c>
    </row>
    <row r="29" spans="1:10" x14ac:dyDescent="0.3">
      <c r="A29" s="1" t="s">
        <v>11</v>
      </c>
      <c r="B29" s="1">
        <v>1</v>
      </c>
      <c r="C29" s="1">
        <v>8</v>
      </c>
      <c r="D29" s="1">
        <v>9.8800000000000008</v>
      </c>
      <c r="E29" s="1">
        <v>10.23</v>
      </c>
      <c r="F29" s="1">
        <v>9.89</v>
      </c>
      <c r="G29" s="1">
        <v>9.84</v>
      </c>
      <c r="H29" s="1">
        <v>9.77</v>
      </c>
      <c r="I29" s="16" t="s">
        <v>17</v>
      </c>
      <c r="J29" s="2" t="s">
        <v>9</v>
      </c>
    </row>
    <row r="30" spans="1:10" x14ac:dyDescent="0.3">
      <c r="A30" s="1" t="s">
        <v>11</v>
      </c>
      <c r="B30" s="1">
        <v>2</v>
      </c>
      <c r="C30" s="1">
        <v>11.91</v>
      </c>
      <c r="D30" s="1">
        <v>12.03</v>
      </c>
      <c r="E30" s="1">
        <v>11.9</v>
      </c>
      <c r="F30" s="1">
        <v>11.95</v>
      </c>
      <c r="G30" s="1">
        <v>10.51</v>
      </c>
      <c r="H30" s="1">
        <v>9.2799999999999994</v>
      </c>
      <c r="I30" s="1" t="s">
        <v>18</v>
      </c>
      <c r="J30" s="3" t="s">
        <v>16</v>
      </c>
    </row>
    <row r="31" spans="1:10" x14ac:dyDescent="0.3">
      <c r="A31" s="1" t="s">
        <v>11</v>
      </c>
      <c r="B31" s="1">
        <v>3</v>
      </c>
      <c r="C31" s="1">
        <v>12.26</v>
      </c>
      <c r="D31" s="1">
        <v>10.130000000000001</v>
      </c>
      <c r="E31" s="1">
        <v>8.52</v>
      </c>
      <c r="F31" s="1">
        <v>8.2200000000000006</v>
      </c>
      <c r="G31" s="1">
        <v>9.7100000000000009</v>
      </c>
      <c r="H31" s="1">
        <v>9.4600000000000009</v>
      </c>
      <c r="I31" s="1" t="s">
        <v>18</v>
      </c>
      <c r="J31" s="3" t="s">
        <v>16</v>
      </c>
    </row>
    <row r="32" spans="1:10" x14ac:dyDescent="0.3">
      <c r="A32" s="1" t="s">
        <v>11</v>
      </c>
      <c r="B32" s="1">
        <v>4</v>
      </c>
      <c r="C32" s="1">
        <v>12.32</v>
      </c>
      <c r="D32" s="1">
        <v>9.9499999999999993</v>
      </c>
      <c r="E32" s="1">
        <v>9.5</v>
      </c>
      <c r="F32" s="1">
        <v>11.61</v>
      </c>
      <c r="G32" s="1">
        <v>9.51</v>
      </c>
      <c r="H32" s="1">
        <v>9.43</v>
      </c>
      <c r="I32" s="1" t="s">
        <v>18</v>
      </c>
      <c r="J32" s="3" t="s">
        <v>16</v>
      </c>
    </row>
    <row r="33" spans="1:10" x14ac:dyDescent="0.3">
      <c r="A33" s="1" t="s">
        <v>11</v>
      </c>
      <c r="B33" s="1">
        <v>5</v>
      </c>
      <c r="C33" s="1">
        <v>8.6199999999999992</v>
      </c>
      <c r="D33" s="1">
        <v>8.9499999999999993</v>
      </c>
      <c r="E33" s="1">
        <v>8.8699999999999992</v>
      </c>
      <c r="F33" s="1">
        <v>10.02</v>
      </c>
      <c r="G33" s="1">
        <v>10.4</v>
      </c>
      <c r="H33" s="1">
        <v>9.9499999999999993</v>
      </c>
      <c r="I33" s="1" t="s">
        <v>18</v>
      </c>
      <c r="J33" s="3" t="s">
        <v>16</v>
      </c>
    </row>
    <row r="34" spans="1:10" x14ac:dyDescent="0.3">
      <c r="A34" s="1" t="s">
        <v>11</v>
      </c>
      <c r="B34" s="1">
        <v>6</v>
      </c>
      <c r="C34" s="1">
        <v>11.71</v>
      </c>
      <c r="D34" s="1">
        <v>11.95</v>
      </c>
      <c r="E34" s="1">
        <v>11.97</v>
      </c>
      <c r="F34" s="1">
        <v>12.67</v>
      </c>
      <c r="G34" s="1">
        <v>11.87</v>
      </c>
      <c r="H34" s="1">
        <v>11.98</v>
      </c>
      <c r="I34" s="1" t="s">
        <v>18</v>
      </c>
      <c r="J34" s="3" t="s">
        <v>16</v>
      </c>
    </row>
    <row r="35" spans="1:10" x14ac:dyDescent="0.3">
      <c r="A35" s="1" t="s">
        <v>11</v>
      </c>
      <c r="B35" s="1">
        <v>8</v>
      </c>
      <c r="C35" s="1">
        <v>8.5299999999999994</v>
      </c>
      <c r="D35" s="1">
        <v>8.4700000000000006</v>
      </c>
      <c r="E35" s="1">
        <v>8.4700000000000006</v>
      </c>
      <c r="F35" s="1">
        <v>8.24</v>
      </c>
      <c r="G35" s="1">
        <v>9.7200000000000006</v>
      </c>
      <c r="H35" s="1">
        <v>9.7899999999999991</v>
      </c>
      <c r="I35" s="1" t="s">
        <v>18</v>
      </c>
      <c r="J35" s="3" t="s">
        <v>16</v>
      </c>
    </row>
    <row r="36" spans="1:10" x14ac:dyDescent="0.3">
      <c r="A36" s="1" t="s">
        <v>11</v>
      </c>
      <c r="B36" s="1">
        <v>9</v>
      </c>
      <c r="C36" s="1">
        <v>7.99</v>
      </c>
      <c r="D36" s="1">
        <v>8.0500000000000007</v>
      </c>
      <c r="E36" s="1">
        <v>8.1199999999999992</v>
      </c>
      <c r="F36" s="1">
        <v>8.27</v>
      </c>
      <c r="G36" s="1">
        <v>8.7899999999999991</v>
      </c>
      <c r="H36" s="1">
        <v>9.89</v>
      </c>
      <c r="I36" s="16" t="s">
        <v>17</v>
      </c>
      <c r="J36" s="2" t="s">
        <v>9</v>
      </c>
    </row>
    <row r="37" spans="1:10" x14ac:dyDescent="0.3">
      <c r="A37" s="1" t="s">
        <v>11</v>
      </c>
      <c r="B37" s="1">
        <v>10</v>
      </c>
      <c r="C37" s="1">
        <v>7.44</v>
      </c>
      <c r="D37" s="1">
        <v>8.24</v>
      </c>
      <c r="E37" s="1">
        <v>8.23</v>
      </c>
      <c r="F37" s="1">
        <v>8.0500000000000007</v>
      </c>
      <c r="G37" s="1">
        <v>9.23</v>
      </c>
      <c r="H37" s="1">
        <v>9.66</v>
      </c>
      <c r="I37" s="16" t="s">
        <v>17</v>
      </c>
      <c r="J37" s="2" t="s">
        <v>9</v>
      </c>
    </row>
    <row r="38" spans="1:10" x14ac:dyDescent="0.3">
      <c r="A38" s="1" t="s">
        <v>11</v>
      </c>
      <c r="B38" s="1">
        <v>11</v>
      </c>
      <c r="C38" s="1">
        <v>12.04</v>
      </c>
      <c r="D38" s="1">
        <v>8.24</v>
      </c>
      <c r="E38" s="1">
        <v>8.24</v>
      </c>
      <c r="F38" s="1">
        <v>7.96</v>
      </c>
      <c r="G38" s="1">
        <v>10.84</v>
      </c>
      <c r="H38" s="1">
        <v>9.56</v>
      </c>
      <c r="I38" s="16" t="s">
        <v>17</v>
      </c>
      <c r="J38" s="2" t="s">
        <v>9</v>
      </c>
    </row>
    <row r="39" spans="1:10" x14ac:dyDescent="0.3">
      <c r="A39" s="1" t="s">
        <v>11</v>
      </c>
      <c r="B39" s="1">
        <v>12</v>
      </c>
      <c r="C39" s="1">
        <v>8.2799999999999994</v>
      </c>
      <c r="D39" s="1">
        <v>8.33</v>
      </c>
      <c r="E39" s="1">
        <v>8.2100000000000009</v>
      </c>
      <c r="F39" s="1">
        <v>8.83</v>
      </c>
      <c r="G39" s="1">
        <v>9.56</v>
      </c>
      <c r="H39" s="1">
        <v>9.18</v>
      </c>
      <c r="I39" s="1" t="s">
        <v>18</v>
      </c>
      <c r="J39" s="3" t="s">
        <v>16</v>
      </c>
    </row>
    <row r="40" spans="1:10" x14ac:dyDescent="0.3">
      <c r="A40" s="1" t="s">
        <v>11</v>
      </c>
      <c r="B40" s="1">
        <v>13</v>
      </c>
      <c r="C40" s="1">
        <v>9.07</v>
      </c>
      <c r="D40" s="1">
        <v>8.89</v>
      </c>
      <c r="E40" s="1">
        <v>8.39</v>
      </c>
      <c r="F40" s="1">
        <v>8.58</v>
      </c>
      <c r="G40" s="1">
        <v>10.41</v>
      </c>
      <c r="H40" s="1">
        <v>9.02</v>
      </c>
      <c r="I40" s="1" t="s">
        <v>18</v>
      </c>
      <c r="J40" s="3" t="s">
        <v>16</v>
      </c>
    </row>
    <row r="41" spans="1:10" x14ac:dyDescent="0.3">
      <c r="A41" s="1" t="s">
        <v>11</v>
      </c>
      <c r="B41" s="1">
        <v>14</v>
      </c>
      <c r="C41" s="1">
        <v>8.23</v>
      </c>
      <c r="D41" s="1">
        <v>8.23</v>
      </c>
      <c r="E41" s="1">
        <v>8.24</v>
      </c>
      <c r="F41" s="1">
        <v>8.59</v>
      </c>
      <c r="G41" s="1">
        <v>9.73</v>
      </c>
      <c r="H41" s="1">
        <v>9.5500000000000007</v>
      </c>
      <c r="I41" s="1" t="s">
        <v>18</v>
      </c>
      <c r="J41" s="3" t="s">
        <v>16</v>
      </c>
    </row>
    <row r="42" spans="1:10" x14ac:dyDescent="0.3">
      <c r="A42" s="1" t="s">
        <v>11</v>
      </c>
      <c r="B42" s="1">
        <v>15</v>
      </c>
      <c r="C42" s="1">
        <v>8.8800000000000008</v>
      </c>
      <c r="D42" s="1">
        <v>8.82</v>
      </c>
      <c r="E42" s="1">
        <v>8.83</v>
      </c>
      <c r="F42" s="1">
        <v>8.58</v>
      </c>
      <c r="G42" s="1">
        <v>10.25</v>
      </c>
      <c r="H42" s="1">
        <v>9.42</v>
      </c>
      <c r="I42" s="1" t="s">
        <v>18</v>
      </c>
      <c r="J42" s="3" t="s">
        <v>16</v>
      </c>
    </row>
    <row r="43" spans="1:10" x14ac:dyDescent="0.3">
      <c r="A43" s="1" t="s">
        <v>11</v>
      </c>
      <c r="B43" s="1">
        <v>16</v>
      </c>
      <c r="C43" s="1">
        <v>8.52</v>
      </c>
      <c r="D43" s="1">
        <v>8.92</v>
      </c>
      <c r="E43" s="1">
        <v>8.94</v>
      </c>
      <c r="F43" s="1">
        <v>8.9499999999999993</v>
      </c>
      <c r="G43" s="1">
        <v>9.7100000000000009</v>
      </c>
      <c r="H43" s="1">
        <v>9.3800000000000008</v>
      </c>
      <c r="I43" s="1" t="s">
        <v>18</v>
      </c>
      <c r="J43" s="3" t="s">
        <v>16</v>
      </c>
    </row>
    <row r="44" spans="1:10" x14ac:dyDescent="0.3">
      <c r="A44" s="1" t="s">
        <v>11</v>
      </c>
      <c r="B44" s="1">
        <v>17</v>
      </c>
      <c r="C44" s="1">
        <v>8.11</v>
      </c>
      <c r="D44" s="1">
        <v>8.41</v>
      </c>
      <c r="E44" s="1">
        <v>8.42</v>
      </c>
      <c r="F44" s="1">
        <v>9.59</v>
      </c>
      <c r="G44" s="1">
        <v>10.44</v>
      </c>
      <c r="H44" s="1">
        <v>9.59</v>
      </c>
      <c r="I44" s="1" t="s">
        <v>18</v>
      </c>
      <c r="J44" s="3" t="s">
        <v>16</v>
      </c>
    </row>
    <row r="45" spans="1:10" x14ac:dyDescent="0.3">
      <c r="A45" s="1" t="s">
        <v>11</v>
      </c>
      <c r="B45" s="1">
        <v>18</v>
      </c>
      <c r="C45" s="1">
        <v>8.64</v>
      </c>
      <c r="D45" s="1">
        <v>8.4700000000000006</v>
      </c>
      <c r="E45" s="1">
        <v>8.24</v>
      </c>
      <c r="F45" s="1">
        <v>8.5299999999999994</v>
      </c>
      <c r="G45" s="1">
        <v>10.16</v>
      </c>
      <c r="H45" s="1">
        <v>10.09</v>
      </c>
      <c r="I45" s="1" t="s">
        <v>18</v>
      </c>
      <c r="J45" s="3" t="s">
        <v>16</v>
      </c>
    </row>
    <row r="46" spans="1:10" x14ac:dyDescent="0.3">
      <c r="A46" s="1" t="s">
        <v>11</v>
      </c>
      <c r="B46" s="1">
        <v>19</v>
      </c>
      <c r="C46" s="1">
        <v>8.34</v>
      </c>
      <c r="D46" s="1">
        <v>8.42</v>
      </c>
      <c r="E46" s="1">
        <v>8.86</v>
      </c>
      <c r="F46" s="1">
        <v>9.81</v>
      </c>
      <c r="G46" s="1">
        <v>10.19</v>
      </c>
      <c r="H46" s="1">
        <v>9.1199999999999992</v>
      </c>
      <c r="I46" s="1" t="s">
        <v>18</v>
      </c>
      <c r="J46" s="3" t="s">
        <v>16</v>
      </c>
    </row>
    <row r="47" spans="1:10" x14ac:dyDescent="0.3">
      <c r="A47" s="1" t="s">
        <v>11</v>
      </c>
      <c r="B47" s="1">
        <v>20</v>
      </c>
      <c r="C47" s="1">
        <v>11.6</v>
      </c>
      <c r="D47" s="1">
        <v>11.32</v>
      </c>
      <c r="E47" s="1">
        <v>11.08</v>
      </c>
      <c r="F47" s="1">
        <v>9.93</v>
      </c>
      <c r="G47" s="1">
        <v>8.7200000000000006</v>
      </c>
      <c r="H47" s="1">
        <v>9.34</v>
      </c>
      <c r="I47" s="1" t="s">
        <v>18</v>
      </c>
      <c r="J47" s="3" t="s">
        <v>16</v>
      </c>
    </row>
    <row r="48" spans="1:10" x14ac:dyDescent="0.3">
      <c r="A48" s="1" t="s">
        <v>11</v>
      </c>
      <c r="B48" s="1">
        <v>21</v>
      </c>
      <c r="C48" s="1">
        <v>8.11</v>
      </c>
      <c r="D48" s="1">
        <v>8.4600000000000009</v>
      </c>
      <c r="E48" s="1">
        <v>8.64</v>
      </c>
      <c r="F48" s="1">
        <v>8.4700000000000006</v>
      </c>
      <c r="G48" s="1">
        <v>9.6300000000000008</v>
      </c>
      <c r="H48" s="1">
        <v>8.66</v>
      </c>
      <c r="I48" s="1" t="s">
        <v>18</v>
      </c>
      <c r="J48" s="3" t="s">
        <v>16</v>
      </c>
    </row>
    <row r="49" spans="1:10" x14ac:dyDescent="0.3">
      <c r="A49" s="1" t="s">
        <v>11</v>
      </c>
      <c r="B49" s="1">
        <v>22</v>
      </c>
      <c r="C49" s="1">
        <v>12.61</v>
      </c>
      <c r="D49" s="1">
        <v>8.16</v>
      </c>
      <c r="E49" s="1">
        <v>8.83</v>
      </c>
      <c r="F49" s="1">
        <v>8.41</v>
      </c>
      <c r="G49" s="1">
        <v>10.65</v>
      </c>
      <c r="H49" s="1">
        <v>10.58</v>
      </c>
      <c r="I49" s="1" t="s">
        <v>18</v>
      </c>
      <c r="J49" s="3" t="s">
        <v>16</v>
      </c>
    </row>
    <row r="50" spans="1:10" x14ac:dyDescent="0.3">
      <c r="A50" s="1" t="s">
        <v>11</v>
      </c>
      <c r="B50" s="1">
        <v>23</v>
      </c>
      <c r="C50" s="1">
        <v>8.75</v>
      </c>
      <c r="D50" s="1">
        <v>8.1300000000000008</v>
      </c>
      <c r="E50" s="1">
        <v>8.41</v>
      </c>
      <c r="F50" s="1">
        <v>8.94</v>
      </c>
      <c r="G50" s="1">
        <v>8.65</v>
      </c>
      <c r="H50" s="1">
        <v>9.2899999999999991</v>
      </c>
      <c r="I50" s="1" t="s">
        <v>18</v>
      </c>
      <c r="J50" s="3" t="s">
        <v>16</v>
      </c>
    </row>
    <row r="51" spans="1:10" x14ac:dyDescent="0.3">
      <c r="A51" s="1" t="s">
        <v>11</v>
      </c>
      <c r="B51" s="1">
        <v>24</v>
      </c>
      <c r="C51" s="1">
        <v>9.0500000000000007</v>
      </c>
      <c r="D51" s="1">
        <v>9</v>
      </c>
      <c r="E51" s="1">
        <v>9.11</v>
      </c>
      <c r="F51" s="1">
        <v>8.0500000000000007</v>
      </c>
      <c r="G51" s="1">
        <v>9.84</v>
      </c>
      <c r="H51" s="1">
        <v>9.52</v>
      </c>
      <c r="I51" s="1" t="s">
        <v>18</v>
      </c>
      <c r="J51" s="3" t="s">
        <v>16</v>
      </c>
    </row>
    <row r="52" spans="1:10" x14ac:dyDescent="0.3">
      <c r="A52" s="1" t="s">
        <v>11</v>
      </c>
      <c r="B52" s="1">
        <v>25</v>
      </c>
      <c r="C52" s="1">
        <v>9.17</v>
      </c>
      <c r="D52" s="1">
        <v>9.2100000000000009</v>
      </c>
      <c r="E52" s="1">
        <v>10.36</v>
      </c>
      <c r="F52" s="1">
        <v>10.38</v>
      </c>
      <c r="G52" s="1">
        <v>10.42</v>
      </c>
      <c r="H52" s="1">
        <v>9.23</v>
      </c>
      <c r="I52" s="1" t="s">
        <v>18</v>
      </c>
      <c r="J52" s="3" t="s">
        <v>16</v>
      </c>
    </row>
    <row r="53" spans="1:10" x14ac:dyDescent="0.3">
      <c r="A53" s="1" t="s">
        <v>11</v>
      </c>
      <c r="B53" s="1">
        <v>26</v>
      </c>
      <c r="C53" s="1">
        <v>9.2200000000000006</v>
      </c>
      <c r="D53" s="1">
        <v>9.5500000000000007</v>
      </c>
      <c r="E53" s="1">
        <v>9.56</v>
      </c>
      <c r="F53" s="1">
        <v>8.77</v>
      </c>
      <c r="G53" s="1">
        <v>8.44</v>
      </c>
      <c r="H53" s="1">
        <v>8.43</v>
      </c>
      <c r="I53" s="1" t="s">
        <v>18</v>
      </c>
      <c r="J53" s="3" t="s">
        <v>16</v>
      </c>
    </row>
    <row r="54" spans="1:10" x14ac:dyDescent="0.3">
      <c r="A54" s="1" t="s">
        <v>11</v>
      </c>
      <c r="B54" s="1">
        <v>27</v>
      </c>
      <c r="C54" s="1">
        <v>10.33</v>
      </c>
      <c r="D54" s="1">
        <v>9.32</v>
      </c>
      <c r="E54" s="1">
        <v>8.89</v>
      </c>
      <c r="F54" s="1">
        <v>9.9</v>
      </c>
      <c r="G54" s="1">
        <v>9.24</v>
      </c>
      <c r="H54" s="1">
        <v>9.98</v>
      </c>
      <c r="I54" s="1" t="s">
        <v>18</v>
      </c>
      <c r="J54" s="3" t="s">
        <v>16</v>
      </c>
    </row>
    <row r="55" spans="1:10" x14ac:dyDescent="0.3">
      <c r="A55" s="1" t="s">
        <v>13</v>
      </c>
      <c r="B55" s="1">
        <v>1</v>
      </c>
      <c r="C55" s="1">
        <v>10.31</v>
      </c>
      <c r="D55" s="1">
        <v>9.8000000000000007</v>
      </c>
      <c r="E55" s="1">
        <v>10.74</v>
      </c>
      <c r="F55" s="1">
        <v>10.23</v>
      </c>
      <c r="G55" s="1">
        <v>10.47</v>
      </c>
      <c r="H55" s="1">
        <v>10.07</v>
      </c>
      <c r="I55" s="1" t="s">
        <v>18</v>
      </c>
      <c r="J55" s="3" t="s">
        <v>16</v>
      </c>
    </row>
    <row r="56" spans="1:10" x14ac:dyDescent="0.3">
      <c r="A56" s="1" t="s">
        <v>13</v>
      </c>
      <c r="B56" s="1">
        <v>2</v>
      </c>
      <c r="C56" s="1">
        <v>8.2100000000000009</v>
      </c>
      <c r="D56" s="1">
        <v>12.36</v>
      </c>
      <c r="E56" s="1">
        <v>12.14</v>
      </c>
      <c r="F56" s="1">
        <v>10.37</v>
      </c>
      <c r="G56" s="1">
        <v>9.1999999999999993</v>
      </c>
      <c r="H56" s="1">
        <v>9.2899999999999991</v>
      </c>
      <c r="I56" s="1" t="s">
        <v>18</v>
      </c>
      <c r="J56" s="3" t="s">
        <v>16</v>
      </c>
    </row>
    <row r="57" spans="1:10" x14ac:dyDescent="0.3">
      <c r="A57" s="1" t="s">
        <v>13</v>
      </c>
      <c r="B57" s="1">
        <v>3</v>
      </c>
      <c r="C57" s="1">
        <v>8.17</v>
      </c>
      <c r="D57" s="1">
        <v>10.72</v>
      </c>
      <c r="E57" s="1">
        <v>11.19</v>
      </c>
      <c r="F57" s="1">
        <v>9.42</v>
      </c>
      <c r="G57" s="1">
        <v>9.1199999999999992</v>
      </c>
      <c r="H57" s="1">
        <v>10.16</v>
      </c>
      <c r="I57" s="1" t="s">
        <v>18</v>
      </c>
      <c r="J57" s="3" t="s">
        <v>16</v>
      </c>
    </row>
    <row r="58" spans="1:10" x14ac:dyDescent="0.3">
      <c r="A58" s="1" t="s">
        <v>13</v>
      </c>
      <c r="B58" s="1">
        <v>4</v>
      </c>
      <c r="C58" s="1">
        <v>8.02</v>
      </c>
      <c r="D58" s="1">
        <v>8.35</v>
      </c>
      <c r="E58" s="1">
        <v>8.01</v>
      </c>
      <c r="F58" s="1">
        <v>10.050000000000001</v>
      </c>
      <c r="G58" s="1">
        <v>8.89</v>
      </c>
      <c r="H58" s="1">
        <v>9.7899999999999991</v>
      </c>
      <c r="I58" s="1" t="s">
        <v>18</v>
      </c>
      <c r="J58" s="3" t="s">
        <v>16</v>
      </c>
    </row>
    <row r="59" spans="1:10" x14ac:dyDescent="0.3">
      <c r="A59" s="1" t="s">
        <v>13</v>
      </c>
      <c r="B59" s="1">
        <v>5</v>
      </c>
      <c r="C59" s="1">
        <v>7.97</v>
      </c>
      <c r="D59" s="1">
        <v>8.06</v>
      </c>
      <c r="E59" s="1">
        <v>8.1199999999999992</v>
      </c>
      <c r="F59" s="1">
        <v>9.19</v>
      </c>
      <c r="G59" s="1">
        <v>9.6</v>
      </c>
      <c r="H59" s="1">
        <v>9.61</v>
      </c>
      <c r="I59" s="16" t="s">
        <v>17</v>
      </c>
      <c r="J59" s="2" t="s">
        <v>9</v>
      </c>
    </row>
    <row r="60" spans="1:10" x14ac:dyDescent="0.3">
      <c r="A60" s="1" t="s">
        <v>13</v>
      </c>
      <c r="B60" s="1">
        <v>6</v>
      </c>
      <c r="C60" s="1">
        <v>8.39</v>
      </c>
      <c r="D60" s="1">
        <v>8.42</v>
      </c>
      <c r="E60" s="1">
        <v>8.5299999999999994</v>
      </c>
      <c r="F60" s="1">
        <v>10.56</v>
      </c>
      <c r="G60" s="1">
        <v>9.64</v>
      </c>
      <c r="H60" s="1">
        <v>10.15</v>
      </c>
      <c r="I60" s="1" t="s">
        <v>18</v>
      </c>
      <c r="J60" s="3" t="s">
        <v>16</v>
      </c>
    </row>
    <row r="61" spans="1:10" x14ac:dyDescent="0.3">
      <c r="A61" s="1" t="s">
        <v>13</v>
      </c>
      <c r="B61" s="1">
        <v>7</v>
      </c>
      <c r="C61" s="1">
        <v>8.15</v>
      </c>
      <c r="D61" s="1">
        <v>8.1199999999999992</v>
      </c>
      <c r="E61" s="1">
        <v>9.5399999999999991</v>
      </c>
      <c r="F61" s="1">
        <v>10.31</v>
      </c>
      <c r="G61" s="1">
        <v>9.27</v>
      </c>
      <c r="H61" s="1">
        <v>10.65</v>
      </c>
      <c r="I61" s="1" t="s">
        <v>18</v>
      </c>
      <c r="J61" s="3" t="s">
        <v>16</v>
      </c>
    </row>
    <row r="62" spans="1:10" x14ac:dyDescent="0.3">
      <c r="A62" s="1" t="s">
        <v>13</v>
      </c>
      <c r="B62" s="1">
        <v>8</v>
      </c>
      <c r="C62" s="1">
        <v>12.43</v>
      </c>
      <c r="D62" s="1">
        <v>8.8000000000000007</v>
      </c>
      <c r="E62" s="1">
        <v>10.84</v>
      </c>
      <c r="F62" s="1">
        <v>9.14</v>
      </c>
      <c r="G62" s="1">
        <v>8.98</v>
      </c>
      <c r="H62" s="1">
        <v>10</v>
      </c>
      <c r="I62" s="1" t="s">
        <v>18</v>
      </c>
      <c r="J62" s="3" t="s">
        <v>16</v>
      </c>
    </row>
    <row r="63" spans="1:10" x14ac:dyDescent="0.3">
      <c r="A63" s="1" t="s">
        <v>13</v>
      </c>
      <c r="B63" s="1">
        <v>9</v>
      </c>
      <c r="C63" s="1">
        <v>8.65</v>
      </c>
      <c r="D63" s="1">
        <v>8.7100000000000009</v>
      </c>
      <c r="E63" s="1">
        <v>8.64</v>
      </c>
      <c r="F63" s="1">
        <v>9.66</v>
      </c>
      <c r="G63" s="1">
        <v>10.52</v>
      </c>
      <c r="H63" s="1">
        <v>10.130000000000001</v>
      </c>
      <c r="I63" s="1" t="s">
        <v>18</v>
      </c>
      <c r="J63" s="3" t="s">
        <v>16</v>
      </c>
    </row>
    <row r="64" spans="1:10" x14ac:dyDescent="0.3">
      <c r="A64" s="1" t="s">
        <v>13</v>
      </c>
      <c r="B64" s="1">
        <v>10</v>
      </c>
      <c r="C64" s="1">
        <v>8.17</v>
      </c>
      <c r="D64" s="1">
        <v>8.35</v>
      </c>
      <c r="E64" s="1">
        <v>8.41</v>
      </c>
      <c r="F64" s="1">
        <v>9.81</v>
      </c>
      <c r="G64" s="1">
        <v>9.5</v>
      </c>
      <c r="H64" s="1">
        <v>9.74</v>
      </c>
      <c r="I64" s="1" t="s">
        <v>18</v>
      </c>
      <c r="J64" s="3" t="s">
        <v>16</v>
      </c>
    </row>
    <row r="65" spans="1:10" x14ac:dyDescent="0.3">
      <c r="A65" s="1" t="s">
        <v>13</v>
      </c>
      <c r="B65" s="1">
        <v>11</v>
      </c>
      <c r="C65" s="1">
        <v>8.52</v>
      </c>
      <c r="D65" s="1">
        <v>8.2899999999999991</v>
      </c>
      <c r="E65" s="1">
        <v>8.65</v>
      </c>
      <c r="F65" s="1">
        <v>9.92</v>
      </c>
      <c r="G65" s="1">
        <v>9</v>
      </c>
      <c r="H65" s="1">
        <v>8.77</v>
      </c>
      <c r="I65" s="1" t="s">
        <v>18</v>
      </c>
      <c r="J65" s="3" t="s">
        <v>16</v>
      </c>
    </row>
    <row r="66" spans="1:10" x14ac:dyDescent="0.3">
      <c r="A66" s="1" t="s">
        <v>13</v>
      </c>
      <c r="B66" s="1">
        <v>12</v>
      </c>
      <c r="C66" s="1">
        <v>8.36</v>
      </c>
      <c r="D66" s="1">
        <v>8.75</v>
      </c>
      <c r="E66" s="1">
        <v>8.65</v>
      </c>
      <c r="F66" s="1">
        <v>9.69</v>
      </c>
      <c r="G66" s="1">
        <v>8.93</v>
      </c>
      <c r="H66" s="1">
        <v>8.8699999999999992</v>
      </c>
      <c r="I66" s="1" t="s">
        <v>18</v>
      </c>
      <c r="J66" s="3" t="s">
        <v>16</v>
      </c>
    </row>
    <row r="67" spans="1:10" x14ac:dyDescent="0.3">
      <c r="A67" s="1" t="s">
        <v>13</v>
      </c>
      <c r="B67" s="1">
        <v>13</v>
      </c>
      <c r="C67" s="1">
        <v>7.94</v>
      </c>
      <c r="D67" s="1">
        <v>8.02</v>
      </c>
      <c r="E67" s="1">
        <v>8.0500000000000007</v>
      </c>
      <c r="F67" s="1">
        <v>9.3000000000000007</v>
      </c>
      <c r="G67" s="1">
        <v>8.5399999999999991</v>
      </c>
      <c r="H67" s="1">
        <v>7.94</v>
      </c>
      <c r="I67" s="16" t="s">
        <v>17</v>
      </c>
      <c r="J67" s="2" t="s">
        <v>9</v>
      </c>
    </row>
    <row r="68" spans="1:10" x14ac:dyDescent="0.3">
      <c r="A68" s="1" t="s">
        <v>13</v>
      </c>
      <c r="B68" s="1">
        <v>14</v>
      </c>
      <c r="C68" s="1">
        <v>8.58</v>
      </c>
      <c r="D68" s="1">
        <v>8.6999999999999993</v>
      </c>
      <c r="E68" s="1">
        <v>8.59</v>
      </c>
      <c r="F68" s="1">
        <v>9.49</v>
      </c>
      <c r="G68" s="1">
        <v>9.5500000000000007</v>
      </c>
      <c r="H68" s="1">
        <v>10.11</v>
      </c>
      <c r="I68" s="1" t="s">
        <v>18</v>
      </c>
      <c r="J68" s="3" t="s">
        <v>16</v>
      </c>
    </row>
    <row r="69" spans="1:10" x14ac:dyDescent="0.3">
      <c r="A69" s="1" t="s">
        <v>13</v>
      </c>
      <c r="B69" s="1">
        <v>16</v>
      </c>
      <c r="C69" s="1">
        <v>8.4600000000000009</v>
      </c>
      <c r="D69" s="1">
        <v>7.45</v>
      </c>
      <c r="E69" s="1">
        <v>8.4</v>
      </c>
      <c r="F69" s="1">
        <v>8.9600000000000009</v>
      </c>
      <c r="G69" s="1">
        <v>9.4</v>
      </c>
      <c r="H69" s="1">
        <v>10.28</v>
      </c>
      <c r="I69" s="16" t="s">
        <v>17</v>
      </c>
      <c r="J69" s="2" t="s">
        <v>9</v>
      </c>
    </row>
    <row r="70" spans="1:10" x14ac:dyDescent="0.3">
      <c r="A70" s="1" t="s">
        <v>13</v>
      </c>
      <c r="B70" s="1">
        <v>17</v>
      </c>
      <c r="C70" s="1">
        <v>8.24</v>
      </c>
      <c r="D70" s="1">
        <v>7.98</v>
      </c>
      <c r="E70" s="1">
        <v>8.4</v>
      </c>
      <c r="F70" s="1">
        <v>10.220000000000001</v>
      </c>
      <c r="G70" s="1">
        <v>10.039999999999999</v>
      </c>
      <c r="H70" s="1">
        <v>8.9499999999999993</v>
      </c>
      <c r="I70" s="16" t="s">
        <v>17</v>
      </c>
      <c r="J70" s="2" t="s">
        <v>9</v>
      </c>
    </row>
    <row r="71" spans="1:10" x14ac:dyDescent="0.3">
      <c r="A71" s="1" t="s">
        <v>13</v>
      </c>
      <c r="B71" s="1">
        <v>18</v>
      </c>
      <c r="C71" s="1">
        <v>8.1199999999999992</v>
      </c>
      <c r="D71" s="1">
        <v>8.41</v>
      </c>
      <c r="E71" s="1">
        <v>8.83</v>
      </c>
      <c r="F71" s="1">
        <v>9.83</v>
      </c>
      <c r="G71" s="1">
        <v>9.4600000000000009</v>
      </c>
      <c r="H71" s="1">
        <v>10.09</v>
      </c>
      <c r="I71" s="1" t="s">
        <v>18</v>
      </c>
      <c r="J71" s="3" t="s">
        <v>16</v>
      </c>
    </row>
    <row r="72" spans="1:10" x14ac:dyDescent="0.3">
      <c r="A72" s="1" t="s">
        <v>13</v>
      </c>
      <c r="B72" s="1">
        <v>19</v>
      </c>
      <c r="C72" s="1">
        <v>8.93</v>
      </c>
      <c r="D72" s="1">
        <v>8.65</v>
      </c>
      <c r="E72" s="1">
        <v>8.33</v>
      </c>
      <c r="F72" s="1">
        <v>8.74</v>
      </c>
      <c r="G72" s="1">
        <v>9.1199999999999992</v>
      </c>
      <c r="H72" s="1">
        <v>9.11</v>
      </c>
      <c r="I72" s="1" t="s">
        <v>18</v>
      </c>
      <c r="J72" s="3" t="s">
        <v>16</v>
      </c>
    </row>
    <row r="73" spans="1:10" x14ac:dyDescent="0.3">
      <c r="A73" s="1" t="s">
        <v>13</v>
      </c>
      <c r="B73" s="1">
        <v>20</v>
      </c>
      <c r="C73" s="1">
        <v>8.24</v>
      </c>
      <c r="D73" s="1">
        <v>8.09</v>
      </c>
      <c r="E73" s="1">
        <v>8.7100000000000009</v>
      </c>
      <c r="F73" s="1">
        <v>10.53</v>
      </c>
      <c r="G73" s="1">
        <v>10.59</v>
      </c>
      <c r="H73" s="1">
        <v>9.83</v>
      </c>
      <c r="I73" s="1" t="s">
        <v>18</v>
      </c>
      <c r="J73" s="3" t="s">
        <v>16</v>
      </c>
    </row>
    <row r="74" spans="1:10" x14ac:dyDescent="0.3">
      <c r="A74" s="1" t="s">
        <v>13</v>
      </c>
      <c r="B74" s="1">
        <v>21</v>
      </c>
      <c r="C74" s="1">
        <v>8.1</v>
      </c>
      <c r="D74" s="1">
        <v>8.16</v>
      </c>
      <c r="E74" s="1">
        <v>7.94</v>
      </c>
      <c r="F74" s="1">
        <v>10.130000000000001</v>
      </c>
      <c r="G74" s="1">
        <v>10.42</v>
      </c>
      <c r="H74" s="1">
        <v>9.8000000000000007</v>
      </c>
      <c r="I74" s="16" t="s">
        <v>17</v>
      </c>
      <c r="J74" s="2" t="s">
        <v>9</v>
      </c>
    </row>
    <row r="75" spans="1:10" x14ac:dyDescent="0.3">
      <c r="A75" s="1" t="s">
        <v>13</v>
      </c>
      <c r="B75" s="1">
        <v>22</v>
      </c>
      <c r="C75" s="1">
        <v>9.65</v>
      </c>
      <c r="D75" s="1">
        <v>10.6</v>
      </c>
      <c r="E75" s="1">
        <v>8.4700000000000006</v>
      </c>
      <c r="F75" s="1">
        <v>7.28</v>
      </c>
      <c r="G75" s="1">
        <v>6.9</v>
      </c>
      <c r="H75" s="1">
        <v>7.21</v>
      </c>
      <c r="I75" s="16" t="s">
        <v>17</v>
      </c>
      <c r="J75" s="2" t="s">
        <v>9</v>
      </c>
    </row>
    <row r="76" spans="1:10" x14ac:dyDescent="0.3">
      <c r="A76" s="1" t="s">
        <v>13</v>
      </c>
      <c r="B76" s="1">
        <v>23</v>
      </c>
      <c r="C76" s="1">
        <v>9.81</v>
      </c>
      <c r="D76" s="1">
        <v>10.95</v>
      </c>
      <c r="E76" s="1">
        <v>10</v>
      </c>
      <c r="F76" s="1">
        <v>9.74</v>
      </c>
      <c r="G76" s="1">
        <v>11.02</v>
      </c>
      <c r="H76" s="1">
        <v>10.76</v>
      </c>
      <c r="I76" s="1" t="s">
        <v>18</v>
      </c>
      <c r="J76" s="3" t="s">
        <v>16</v>
      </c>
    </row>
    <row r="77" spans="1:10" x14ac:dyDescent="0.3">
      <c r="A77" s="1" t="s">
        <v>13</v>
      </c>
      <c r="B77" s="1">
        <v>24</v>
      </c>
      <c r="C77" s="1">
        <v>9.51</v>
      </c>
      <c r="D77" s="1">
        <v>9.14</v>
      </c>
      <c r="E77" s="1">
        <v>10.19</v>
      </c>
      <c r="F77" s="1">
        <v>9.24</v>
      </c>
      <c r="G77" s="1">
        <v>10.28</v>
      </c>
      <c r="H77" s="1">
        <v>9.92</v>
      </c>
      <c r="I77" s="1" t="s">
        <v>18</v>
      </c>
      <c r="J77" s="3" t="s">
        <v>16</v>
      </c>
    </row>
    <row r="78" spans="1:10" x14ac:dyDescent="0.3">
      <c r="A78" s="1" t="s">
        <v>13</v>
      </c>
      <c r="B78" s="1">
        <v>25</v>
      </c>
      <c r="C78" s="1">
        <v>9.43</v>
      </c>
      <c r="D78" s="1">
        <v>9.7100000000000009</v>
      </c>
      <c r="E78" s="1">
        <v>9.7200000000000006</v>
      </c>
      <c r="F78" s="1">
        <v>10.210000000000001</v>
      </c>
      <c r="G78" s="1">
        <v>8.93</v>
      </c>
      <c r="H78" s="1">
        <v>9.42</v>
      </c>
      <c r="I78" s="1" t="s">
        <v>18</v>
      </c>
      <c r="J78" s="3" t="s">
        <v>16</v>
      </c>
    </row>
    <row r="79" spans="1:10" x14ac:dyDescent="0.3">
      <c r="A79" s="1" t="s">
        <v>13</v>
      </c>
      <c r="B79" s="1">
        <v>26</v>
      </c>
      <c r="C79" s="1">
        <v>10.86</v>
      </c>
      <c r="D79" s="1">
        <v>11.02</v>
      </c>
      <c r="E79" s="1">
        <v>9.91</v>
      </c>
      <c r="F79" s="1">
        <v>9.6999999999999993</v>
      </c>
      <c r="G79" s="1">
        <v>9.5399999999999991</v>
      </c>
      <c r="H79" s="1">
        <v>10.64</v>
      </c>
      <c r="I79" s="1" t="s">
        <v>18</v>
      </c>
      <c r="J79" s="3" t="s">
        <v>16</v>
      </c>
    </row>
    <row r="80" spans="1:10" x14ac:dyDescent="0.3">
      <c r="A80" s="1" t="s">
        <v>13</v>
      </c>
      <c r="B80" s="1">
        <v>27</v>
      </c>
      <c r="C80" s="1">
        <v>9.1199999999999992</v>
      </c>
      <c r="D80" s="1">
        <v>9.0500000000000007</v>
      </c>
      <c r="E80" s="1">
        <v>9.49</v>
      </c>
      <c r="F80" s="1">
        <v>9</v>
      </c>
      <c r="G80" s="1">
        <v>9.44</v>
      </c>
      <c r="H80" s="1">
        <v>9.3699999999999992</v>
      </c>
      <c r="I80" s="1" t="s">
        <v>18</v>
      </c>
      <c r="J80" s="3" t="s">
        <v>16</v>
      </c>
    </row>
  </sheetData>
  <phoneticPr fontId="1" type="noConversion"/>
  <conditionalFormatting sqref="C2:H80">
    <cfRule type="cellIs" dxfId="11" priority="1" operator="lessThan">
      <formula>6</formula>
    </cfRule>
    <cfRule type="cellIs" dxfId="10" priority="2" operator="between">
      <formula>6</formula>
      <formula>8</formula>
    </cfRule>
    <cfRule type="cellIs" dxfId="9" priority="3" operator="greaterThan">
      <formula>8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29DED-003C-4198-A760-D8C996D44720}">
  <dimension ref="A1:O44"/>
  <sheetViews>
    <sheetView workbookViewId="0">
      <selection activeCell="B4" sqref="B4"/>
    </sheetView>
  </sheetViews>
  <sheetFormatPr baseColWidth="10" defaultRowHeight="14.4" x14ac:dyDescent="0.3"/>
  <sheetData>
    <row r="1" spans="1:15" ht="15" thickBot="1" x14ac:dyDescent="0.35">
      <c r="A1" t="s">
        <v>29</v>
      </c>
    </row>
    <row r="2" spans="1:15" ht="15" thickBot="1" x14ac:dyDescent="0.35">
      <c r="A2" s="26" t="s">
        <v>0</v>
      </c>
      <c r="B2" s="23" t="s">
        <v>27</v>
      </c>
      <c r="C2" s="24"/>
      <c r="D2" s="24"/>
      <c r="E2" s="24"/>
      <c r="F2" s="25"/>
      <c r="G2" s="15"/>
      <c r="H2" s="23" t="s">
        <v>22</v>
      </c>
      <c r="I2" s="24"/>
      <c r="J2" s="25"/>
      <c r="K2" s="26" t="s">
        <v>25</v>
      </c>
    </row>
    <row r="3" spans="1:15" ht="15" thickBot="1" x14ac:dyDescent="0.35">
      <c r="A3" s="27"/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1</v>
      </c>
      <c r="I3" s="9" t="s">
        <v>2</v>
      </c>
      <c r="J3" s="9" t="s">
        <v>3</v>
      </c>
      <c r="K3" s="27"/>
      <c r="N3" t="s">
        <v>33</v>
      </c>
      <c r="O3" t="s">
        <v>32</v>
      </c>
    </row>
    <row r="4" spans="1:15" ht="15" thickBot="1" x14ac:dyDescent="0.35">
      <c r="A4" s="9">
        <v>1</v>
      </c>
      <c r="B4" s="16">
        <v>8.76</v>
      </c>
      <c r="C4" s="16">
        <v>10.14</v>
      </c>
      <c r="D4" s="16">
        <v>8.18</v>
      </c>
      <c r="E4" s="16">
        <v>9.59</v>
      </c>
      <c r="F4" s="16">
        <v>9.83</v>
      </c>
      <c r="G4" s="16">
        <v>9.43</v>
      </c>
      <c r="H4" s="10">
        <v>218.2</v>
      </c>
      <c r="I4" s="10">
        <v>216</v>
      </c>
      <c r="J4" s="10">
        <v>216.4</v>
      </c>
      <c r="K4" s="13">
        <f>AVERAGE(H4:J4)</f>
        <v>216.86666666666667</v>
      </c>
      <c r="L4" s="10">
        <v>219.1</v>
      </c>
      <c r="M4">
        <f>(L4-K4)/2</f>
        <v>1.11666666666666</v>
      </c>
      <c r="N4">
        <f>11.5-M4</f>
        <v>10.38333333333334</v>
      </c>
      <c r="O4">
        <f>N4-1.5</f>
        <v>8.88333333333334</v>
      </c>
    </row>
    <row r="5" spans="1:15" ht="15" thickBot="1" x14ac:dyDescent="0.35">
      <c r="A5" s="9">
        <v>2</v>
      </c>
      <c r="B5" s="16">
        <v>9.4</v>
      </c>
      <c r="C5" s="16">
        <v>8.65</v>
      </c>
      <c r="D5" s="16">
        <v>8.83</v>
      </c>
      <c r="E5" s="16">
        <v>8.81</v>
      </c>
      <c r="F5" s="16">
        <v>8.52</v>
      </c>
      <c r="G5" s="16">
        <v>8.84</v>
      </c>
      <c r="H5" s="10"/>
      <c r="I5" s="10"/>
      <c r="J5" s="10"/>
      <c r="K5" s="10"/>
      <c r="L5" s="10"/>
      <c r="N5">
        <v>0</v>
      </c>
      <c r="O5">
        <v>0</v>
      </c>
    </row>
    <row r="6" spans="1:15" ht="15" thickBot="1" x14ac:dyDescent="0.35">
      <c r="A6" s="9">
        <v>3</v>
      </c>
      <c r="B6" s="16">
        <v>8.35</v>
      </c>
      <c r="C6" s="16">
        <v>8.33</v>
      </c>
      <c r="D6" s="16">
        <v>9.34</v>
      </c>
      <c r="E6" s="16">
        <v>9.48</v>
      </c>
      <c r="F6" s="16">
        <v>8.24</v>
      </c>
      <c r="G6" s="16">
        <v>8.75</v>
      </c>
      <c r="H6" s="10"/>
      <c r="I6" s="10"/>
      <c r="J6" s="10"/>
      <c r="K6" s="10"/>
      <c r="L6" s="10"/>
      <c r="N6">
        <v>0</v>
      </c>
      <c r="O6">
        <v>0</v>
      </c>
    </row>
    <row r="7" spans="1:15" ht="15" thickBot="1" x14ac:dyDescent="0.35">
      <c r="A7" s="9">
        <v>4</v>
      </c>
      <c r="B7" s="16">
        <v>12.62</v>
      </c>
      <c r="C7" s="16">
        <v>8.01</v>
      </c>
      <c r="D7" s="16">
        <v>12.24</v>
      </c>
      <c r="E7" s="16">
        <v>10.130000000000001</v>
      </c>
      <c r="F7" s="16">
        <v>9.0299999999999994</v>
      </c>
      <c r="G7" s="16">
        <v>10.06</v>
      </c>
      <c r="H7" s="10">
        <v>218.3</v>
      </c>
      <c r="I7" s="10">
        <v>219.2</v>
      </c>
      <c r="J7" s="10">
        <v>218.1</v>
      </c>
      <c r="K7" s="13">
        <f t="shared" ref="K7:K44" si="0">AVERAGE(H7:J7)</f>
        <v>218.53333333333333</v>
      </c>
      <c r="L7" s="10">
        <v>219.1</v>
      </c>
      <c r="M7">
        <f t="shared" ref="M7:M26" si="1">(L7-K7)/2</f>
        <v>0.28333333333333144</v>
      </c>
      <c r="N7">
        <f t="shared" ref="N7:N26" si="2">11.5-M7</f>
        <v>11.216666666666669</v>
      </c>
      <c r="O7">
        <f>N7-1.5</f>
        <v>9.7166666666666686</v>
      </c>
    </row>
    <row r="8" spans="1:15" ht="15" thickBot="1" x14ac:dyDescent="0.35">
      <c r="A8" s="9">
        <v>5</v>
      </c>
      <c r="B8" s="16">
        <v>9.1199999999999992</v>
      </c>
      <c r="C8" s="16">
        <v>11.24</v>
      </c>
      <c r="D8" s="16">
        <v>10.72</v>
      </c>
      <c r="E8" s="16">
        <v>11.35</v>
      </c>
      <c r="F8" s="16">
        <v>11.65</v>
      </c>
      <c r="G8" s="16">
        <v>10.81</v>
      </c>
      <c r="H8" s="10"/>
      <c r="I8" s="10"/>
      <c r="J8" s="10"/>
      <c r="K8" s="10"/>
      <c r="L8" s="10"/>
      <c r="N8">
        <v>0</v>
      </c>
      <c r="O8">
        <v>0</v>
      </c>
    </row>
    <row r="9" spans="1:15" ht="15" thickBot="1" x14ac:dyDescent="0.35">
      <c r="A9" s="9">
        <v>6</v>
      </c>
      <c r="B9" s="16">
        <v>8.83</v>
      </c>
      <c r="C9" s="16">
        <v>11.85</v>
      </c>
      <c r="D9" s="16">
        <v>9.35</v>
      </c>
      <c r="E9" s="16">
        <v>8.8800000000000008</v>
      </c>
      <c r="F9" s="16">
        <v>9.07</v>
      </c>
      <c r="G9" s="16">
        <v>9.6</v>
      </c>
      <c r="H9" s="10"/>
      <c r="I9" s="10"/>
      <c r="J9" s="10"/>
      <c r="K9" s="10"/>
      <c r="L9" s="10"/>
      <c r="N9">
        <v>0</v>
      </c>
      <c r="O9">
        <v>0</v>
      </c>
    </row>
    <row r="10" spans="1:15" ht="15" thickBot="1" x14ac:dyDescent="0.35">
      <c r="A10" s="9">
        <v>8</v>
      </c>
      <c r="B10" s="16">
        <v>10.29</v>
      </c>
      <c r="C10" s="16">
        <v>9.6</v>
      </c>
      <c r="D10" s="16">
        <v>8.7100000000000009</v>
      </c>
      <c r="E10" s="16">
        <v>8.94</v>
      </c>
      <c r="F10" s="16">
        <v>8.4700000000000006</v>
      </c>
      <c r="G10" s="16">
        <v>9.3800000000000008</v>
      </c>
      <c r="H10" s="10">
        <v>216.1</v>
      </c>
      <c r="I10" s="10">
        <v>213.5</v>
      </c>
      <c r="J10" s="10">
        <v>215</v>
      </c>
      <c r="K10" s="13">
        <f t="shared" si="0"/>
        <v>214.86666666666667</v>
      </c>
      <c r="L10" s="10">
        <v>219.1</v>
      </c>
      <c r="M10">
        <f t="shared" si="1"/>
        <v>2.11666666666666</v>
      </c>
      <c r="N10">
        <f t="shared" si="2"/>
        <v>9.38333333333334</v>
      </c>
      <c r="O10">
        <f t="shared" ref="O10:O26" si="3">N10-1.5</f>
        <v>7.88333333333334</v>
      </c>
    </row>
    <row r="11" spans="1:15" ht="15" thickBot="1" x14ac:dyDescent="0.35">
      <c r="A11" s="9">
        <v>9</v>
      </c>
      <c r="B11" s="16">
        <v>9.5399999999999991</v>
      </c>
      <c r="C11" s="16">
        <v>8.59</v>
      </c>
      <c r="D11" s="16">
        <v>8.0399999999999991</v>
      </c>
      <c r="E11" s="16">
        <v>8.3000000000000007</v>
      </c>
      <c r="F11" s="16">
        <v>8.3000000000000007</v>
      </c>
      <c r="G11" s="16">
        <v>9.8000000000000007</v>
      </c>
      <c r="H11" s="10">
        <v>216.7</v>
      </c>
      <c r="I11" s="10">
        <v>215.5</v>
      </c>
      <c r="J11" s="10">
        <v>216.7</v>
      </c>
      <c r="K11" s="13">
        <f t="shared" si="0"/>
        <v>216.29999999999998</v>
      </c>
      <c r="L11" s="10">
        <v>219.1</v>
      </c>
      <c r="M11">
        <f t="shared" si="1"/>
        <v>1.4000000000000057</v>
      </c>
      <c r="N11">
        <f t="shared" si="2"/>
        <v>10.099999999999994</v>
      </c>
      <c r="O11">
        <f t="shared" si="3"/>
        <v>8.5999999999999943</v>
      </c>
    </row>
    <row r="12" spans="1:15" ht="15" thickBot="1" x14ac:dyDescent="0.35">
      <c r="A12" s="9">
        <v>10</v>
      </c>
      <c r="B12" s="16">
        <v>8.42</v>
      </c>
      <c r="C12" s="16">
        <v>8.17</v>
      </c>
      <c r="D12" s="16">
        <v>8.4700000000000006</v>
      </c>
      <c r="E12" s="16">
        <v>8.5299999999999994</v>
      </c>
      <c r="F12" s="16">
        <v>8.56</v>
      </c>
      <c r="G12" s="16">
        <v>8.82</v>
      </c>
      <c r="H12" s="10">
        <v>216.1</v>
      </c>
      <c r="I12" s="10">
        <v>214.3</v>
      </c>
      <c r="J12" s="10">
        <v>217.1</v>
      </c>
      <c r="K12" s="13">
        <f t="shared" si="0"/>
        <v>215.83333333333334</v>
      </c>
      <c r="L12" s="10">
        <v>219.1</v>
      </c>
      <c r="M12">
        <f t="shared" si="1"/>
        <v>1.6333333333333258</v>
      </c>
      <c r="N12">
        <f t="shared" si="2"/>
        <v>9.8666666666666742</v>
      </c>
      <c r="O12">
        <f t="shared" si="3"/>
        <v>8.3666666666666742</v>
      </c>
    </row>
    <row r="13" spans="1:15" ht="15" thickBot="1" x14ac:dyDescent="0.35">
      <c r="A13" s="9">
        <v>11</v>
      </c>
      <c r="B13" s="16">
        <v>9.23</v>
      </c>
      <c r="C13" s="16">
        <v>8.52</v>
      </c>
      <c r="D13" s="16">
        <v>8.33</v>
      </c>
      <c r="E13" s="16">
        <v>8.65</v>
      </c>
      <c r="F13" s="16">
        <v>7.99</v>
      </c>
      <c r="G13" s="16">
        <v>10.47</v>
      </c>
      <c r="H13" s="10">
        <v>218.4</v>
      </c>
      <c r="I13" s="10">
        <v>218.6</v>
      </c>
      <c r="J13" s="10">
        <v>218.4</v>
      </c>
      <c r="K13" s="13">
        <f t="shared" si="0"/>
        <v>218.46666666666667</v>
      </c>
      <c r="L13" s="10">
        <v>219.1</v>
      </c>
      <c r="M13">
        <f t="shared" si="1"/>
        <v>0.31666666666666288</v>
      </c>
      <c r="N13">
        <f t="shared" si="2"/>
        <v>11.183333333333337</v>
      </c>
      <c r="O13">
        <f t="shared" si="3"/>
        <v>9.6833333333333371</v>
      </c>
    </row>
    <row r="14" spans="1:15" ht="15" thickBot="1" x14ac:dyDescent="0.35">
      <c r="A14" s="9">
        <v>12</v>
      </c>
      <c r="B14" s="16">
        <v>8.11</v>
      </c>
      <c r="C14" s="16">
        <v>8.06</v>
      </c>
      <c r="D14" s="16">
        <v>8.4700000000000006</v>
      </c>
      <c r="E14" s="16">
        <v>8.2899999999999991</v>
      </c>
      <c r="F14" s="16">
        <v>8.18</v>
      </c>
      <c r="G14" s="16">
        <v>10.15</v>
      </c>
      <c r="H14" s="10">
        <v>216</v>
      </c>
      <c r="I14" s="10">
        <v>216.5</v>
      </c>
      <c r="J14" s="10">
        <v>216.9</v>
      </c>
      <c r="K14" s="13">
        <f t="shared" si="0"/>
        <v>216.46666666666667</v>
      </c>
      <c r="L14" s="10">
        <v>219.1</v>
      </c>
      <c r="M14">
        <f t="shared" si="1"/>
        <v>1.3166666666666629</v>
      </c>
      <c r="N14">
        <f t="shared" si="2"/>
        <v>10.183333333333337</v>
      </c>
      <c r="O14">
        <f t="shared" si="3"/>
        <v>8.6833333333333371</v>
      </c>
    </row>
    <row r="15" spans="1:15" ht="15" thickBot="1" x14ac:dyDescent="0.35">
      <c r="A15" s="9">
        <v>13</v>
      </c>
      <c r="B15" s="16">
        <v>8.64</v>
      </c>
      <c r="C15" s="16">
        <v>8.4</v>
      </c>
      <c r="D15" s="16">
        <v>8.27</v>
      </c>
      <c r="E15" s="16">
        <v>8.24</v>
      </c>
      <c r="F15" s="16">
        <v>8.24</v>
      </c>
      <c r="G15" s="16">
        <v>9.4600000000000009</v>
      </c>
      <c r="H15" s="10">
        <v>215.9</v>
      </c>
      <c r="I15" s="10">
        <v>215.8</v>
      </c>
      <c r="J15" s="10">
        <v>215.3</v>
      </c>
      <c r="K15" s="13">
        <f t="shared" si="0"/>
        <v>215.66666666666666</v>
      </c>
      <c r="L15" s="10">
        <v>219.1</v>
      </c>
      <c r="M15">
        <f t="shared" si="1"/>
        <v>1.7166666666666686</v>
      </c>
      <c r="N15">
        <f t="shared" si="2"/>
        <v>9.7833333333333314</v>
      </c>
      <c r="O15">
        <f t="shared" si="3"/>
        <v>8.2833333333333314</v>
      </c>
    </row>
    <row r="16" spans="1:15" ht="15" thickBot="1" x14ac:dyDescent="0.35">
      <c r="A16" s="9">
        <v>14</v>
      </c>
      <c r="B16" s="16">
        <v>8.1199999999999992</v>
      </c>
      <c r="C16" s="16">
        <v>8.4</v>
      </c>
      <c r="D16" s="16">
        <v>8.1</v>
      </c>
      <c r="E16" s="16">
        <v>8.44</v>
      </c>
      <c r="F16" s="16">
        <v>8.2799999999999994</v>
      </c>
      <c r="G16" s="16">
        <v>9.6199999999999992</v>
      </c>
      <c r="H16" s="10">
        <v>216.9</v>
      </c>
      <c r="I16" s="10">
        <v>216.4</v>
      </c>
      <c r="J16" s="10">
        <v>216.9</v>
      </c>
      <c r="K16" s="13">
        <f t="shared" si="0"/>
        <v>216.73333333333335</v>
      </c>
      <c r="L16" s="10">
        <v>219.1</v>
      </c>
      <c r="M16">
        <f t="shared" si="1"/>
        <v>1.1833333333333229</v>
      </c>
      <c r="N16">
        <f t="shared" si="2"/>
        <v>10.316666666666677</v>
      </c>
      <c r="O16">
        <f t="shared" si="3"/>
        <v>8.8166666666666771</v>
      </c>
    </row>
    <row r="17" spans="1:15" ht="15" thickBot="1" x14ac:dyDescent="0.35">
      <c r="A17" s="9">
        <v>17</v>
      </c>
      <c r="B17" s="16">
        <v>9.81</v>
      </c>
      <c r="C17" s="16">
        <v>8.51</v>
      </c>
      <c r="D17" s="16">
        <v>8.86</v>
      </c>
      <c r="E17" s="16">
        <v>8.89</v>
      </c>
      <c r="F17" s="16">
        <v>8.83</v>
      </c>
      <c r="G17" s="16">
        <v>9.98</v>
      </c>
      <c r="H17" s="10">
        <v>218.3</v>
      </c>
      <c r="I17" s="10">
        <v>216.9</v>
      </c>
      <c r="J17" s="10">
        <v>216.8</v>
      </c>
      <c r="K17" s="13">
        <f t="shared" si="0"/>
        <v>217.33333333333334</v>
      </c>
      <c r="L17" s="10">
        <v>219.1</v>
      </c>
      <c r="M17">
        <f t="shared" si="1"/>
        <v>0.88333333333332575</v>
      </c>
      <c r="N17">
        <f t="shared" si="2"/>
        <v>10.616666666666674</v>
      </c>
      <c r="O17">
        <f t="shared" si="3"/>
        <v>9.1166666666666742</v>
      </c>
    </row>
    <row r="18" spans="1:15" ht="15" thickBot="1" x14ac:dyDescent="0.35">
      <c r="A18" s="9">
        <v>18</v>
      </c>
      <c r="B18" s="16">
        <v>8.02</v>
      </c>
      <c r="C18" s="16">
        <v>8.36</v>
      </c>
      <c r="D18" s="16">
        <v>7.98</v>
      </c>
      <c r="E18" s="16">
        <v>8.01</v>
      </c>
      <c r="F18" s="16">
        <v>8.7100000000000009</v>
      </c>
      <c r="G18" s="16">
        <v>9.19</v>
      </c>
      <c r="H18" s="10">
        <v>219</v>
      </c>
      <c r="I18" s="10">
        <v>215.1</v>
      </c>
      <c r="J18" s="10" t="s">
        <v>26</v>
      </c>
      <c r="K18" s="13">
        <f t="shared" si="0"/>
        <v>217.05</v>
      </c>
      <c r="L18" s="10">
        <v>219.1</v>
      </c>
      <c r="M18">
        <f t="shared" si="1"/>
        <v>1.0249999999999915</v>
      </c>
      <c r="N18">
        <f t="shared" si="2"/>
        <v>10.475000000000009</v>
      </c>
      <c r="O18">
        <f t="shared" si="3"/>
        <v>8.9750000000000085</v>
      </c>
    </row>
    <row r="19" spans="1:15" ht="15" thickBot="1" x14ac:dyDescent="0.35">
      <c r="A19" s="9">
        <v>19</v>
      </c>
      <c r="B19" s="16">
        <v>9.07</v>
      </c>
      <c r="C19" s="16">
        <v>8.56</v>
      </c>
      <c r="D19" s="16">
        <v>9.1199999999999992</v>
      </c>
      <c r="E19" s="16">
        <v>8.3000000000000007</v>
      </c>
      <c r="F19" s="16">
        <v>8.5299999999999994</v>
      </c>
      <c r="G19" s="16">
        <v>9.43</v>
      </c>
      <c r="H19" s="10">
        <v>218.3</v>
      </c>
      <c r="I19" s="10">
        <v>216</v>
      </c>
      <c r="J19" s="10">
        <v>216.4</v>
      </c>
      <c r="K19" s="13">
        <f t="shared" si="0"/>
        <v>216.9</v>
      </c>
      <c r="L19" s="10">
        <v>219.1</v>
      </c>
      <c r="M19">
        <f t="shared" si="1"/>
        <v>1.0999999999999943</v>
      </c>
      <c r="N19">
        <f t="shared" si="2"/>
        <v>10.400000000000006</v>
      </c>
      <c r="O19">
        <f t="shared" si="3"/>
        <v>8.9000000000000057</v>
      </c>
    </row>
    <row r="20" spans="1:15" ht="15" thickBot="1" x14ac:dyDescent="0.35">
      <c r="A20" s="9">
        <v>20</v>
      </c>
      <c r="B20" s="16">
        <v>8.17</v>
      </c>
      <c r="C20" s="16">
        <v>8.16</v>
      </c>
      <c r="D20" s="16">
        <v>8.06</v>
      </c>
      <c r="E20" s="16">
        <v>9</v>
      </c>
      <c r="F20" s="16">
        <v>9.0299999999999994</v>
      </c>
      <c r="G20" s="16">
        <v>10.64</v>
      </c>
      <c r="H20" s="10">
        <v>217.3</v>
      </c>
      <c r="I20" s="10">
        <v>217.4</v>
      </c>
      <c r="J20" s="10">
        <v>218</v>
      </c>
      <c r="K20" s="13">
        <f t="shared" si="0"/>
        <v>217.56666666666669</v>
      </c>
      <c r="L20" s="10">
        <v>219.1</v>
      </c>
      <c r="M20">
        <f t="shared" si="1"/>
        <v>0.76666666666665151</v>
      </c>
      <c r="N20">
        <f t="shared" si="2"/>
        <v>10.733333333333348</v>
      </c>
      <c r="O20">
        <f t="shared" si="3"/>
        <v>9.2333333333333485</v>
      </c>
    </row>
    <row r="21" spans="1:15" ht="15" thickBot="1" x14ac:dyDescent="0.35">
      <c r="A21" s="9">
        <v>22</v>
      </c>
      <c r="B21" s="16">
        <v>11.7</v>
      </c>
      <c r="C21" s="16">
        <v>8.9499999999999993</v>
      </c>
      <c r="D21" s="16">
        <v>8.6199999999999992</v>
      </c>
      <c r="E21" s="16">
        <v>11.83</v>
      </c>
      <c r="F21" s="16">
        <v>11.59</v>
      </c>
      <c r="G21" s="16">
        <v>9.9499999999999993</v>
      </c>
      <c r="H21" s="10">
        <v>217.2</v>
      </c>
      <c r="I21" s="10">
        <v>217.1</v>
      </c>
      <c r="J21" s="10">
        <v>216.4</v>
      </c>
      <c r="K21" s="13">
        <f t="shared" si="0"/>
        <v>216.89999999999998</v>
      </c>
      <c r="L21" s="10">
        <v>219.1</v>
      </c>
      <c r="M21">
        <f t="shared" si="1"/>
        <v>1.1000000000000085</v>
      </c>
      <c r="N21">
        <f t="shared" si="2"/>
        <v>10.399999999999991</v>
      </c>
      <c r="O21">
        <f t="shared" si="3"/>
        <v>8.8999999999999915</v>
      </c>
    </row>
    <row r="22" spans="1:15" ht="15" thickBot="1" x14ac:dyDescent="0.35">
      <c r="A22" s="9">
        <v>23</v>
      </c>
      <c r="B22" s="16">
        <v>12.61</v>
      </c>
      <c r="C22" s="16">
        <v>12.55</v>
      </c>
      <c r="D22" s="16">
        <v>10.6</v>
      </c>
      <c r="E22" s="16">
        <v>9.73</v>
      </c>
      <c r="F22" s="16">
        <v>9.69</v>
      </c>
      <c r="G22" s="16">
        <v>10.17</v>
      </c>
      <c r="H22" s="10">
        <v>216.8</v>
      </c>
      <c r="I22" s="10">
        <v>216.8</v>
      </c>
      <c r="J22" s="10">
        <v>216.3</v>
      </c>
      <c r="K22" s="13">
        <f t="shared" si="0"/>
        <v>216.63333333333335</v>
      </c>
      <c r="L22" s="10">
        <v>219.1</v>
      </c>
      <c r="M22">
        <f t="shared" si="1"/>
        <v>1.2333333333333201</v>
      </c>
      <c r="N22">
        <f t="shared" si="2"/>
        <v>10.26666666666668</v>
      </c>
      <c r="O22">
        <f t="shared" si="3"/>
        <v>8.7666666666666799</v>
      </c>
    </row>
    <row r="23" spans="1:15" ht="15" thickBot="1" x14ac:dyDescent="0.35">
      <c r="A23" s="9">
        <v>24</v>
      </c>
      <c r="B23" s="16">
        <v>9.32</v>
      </c>
      <c r="C23" s="16">
        <v>9.15</v>
      </c>
      <c r="D23" s="16">
        <v>10.41</v>
      </c>
      <c r="E23" s="16">
        <v>10.34</v>
      </c>
      <c r="F23" s="16">
        <v>10.17</v>
      </c>
      <c r="G23" s="16">
        <v>9.08</v>
      </c>
      <c r="H23" s="10">
        <v>218</v>
      </c>
      <c r="I23" s="10">
        <v>216.4</v>
      </c>
      <c r="J23" s="10">
        <v>216.9</v>
      </c>
      <c r="K23" s="13">
        <f t="shared" si="0"/>
        <v>217.1</v>
      </c>
      <c r="L23" s="10">
        <v>219.1</v>
      </c>
      <c r="M23">
        <f t="shared" si="1"/>
        <v>1</v>
      </c>
      <c r="N23">
        <f t="shared" si="2"/>
        <v>10.5</v>
      </c>
      <c r="O23">
        <f t="shared" si="3"/>
        <v>9</v>
      </c>
    </row>
    <row r="24" spans="1:15" ht="15" thickBot="1" x14ac:dyDescent="0.35">
      <c r="A24" s="9">
        <v>25</v>
      </c>
      <c r="B24" s="16">
        <v>7.99</v>
      </c>
      <c r="C24" s="16">
        <v>9.01</v>
      </c>
      <c r="D24" s="16">
        <v>9.89</v>
      </c>
      <c r="E24" s="16">
        <v>9.56</v>
      </c>
      <c r="F24" s="16">
        <v>9.19</v>
      </c>
      <c r="G24" s="16">
        <v>9.82</v>
      </c>
      <c r="H24" s="10">
        <v>216</v>
      </c>
      <c r="I24" s="10">
        <v>216.4</v>
      </c>
      <c r="J24" s="10">
        <v>216.7</v>
      </c>
      <c r="K24" s="13">
        <f t="shared" si="0"/>
        <v>216.36666666666665</v>
      </c>
      <c r="L24" s="10">
        <v>219.1</v>
      </c>
      <c r="M24">
        <f t="shared" si="1"/>
        <v>1.3666666666666742</v>
      </c>
      <c r="N24">
        <f t="shared" si="2"/>
        <v>10.133333333333326</v>
      </c>
      <c r="O24">
        <f t="shared" si="3"/>
        <v>8.6333333333333258</v>
      </c>
    </row>
    <row r="25" spans="1:15" ht="15" thickBot="1" x14ac:dyDescent="0.35">
      <c r="A25" s="9">
        <v>26</v>
      </c>
      <c r="B25" s="16">
        <v>10.35</v>
      </c>
      <c r="C25" s="16">
        <v>10.17</v>
      </c>
      <c r="D25" s="16">
        <v>10.49</v>
      </c>
      <c r="E25" s="16">
        <v>9.98</v>
      </c>
      <c r="F25" s="16">
        <v>10.029999999999999</v>
      </c>
      <c r="G25" s="16">
        <v>10.54</v>
      </c>
      <c r="H25" s="10">
        <v>218.3</v>
      </c>
      <c r="I25" s="10">
        <v>218</v>
      </c>
      <c r="J25" s="10">
        <v>218.1</v>
      </c>
      <c r="K25" s="13">
        <f t="shared" si="0"/>
        <v>218.13333333333333</v>
      </c>
      <c r="L25" s="10">
        <v>219.1</v>
      </c>
      <c r="M25">
        <f t="shared" si="1"/>
        <v>0.48333333333333428</v>
      </c>
      <c r="N25">
        <f t="shared" si="2"/>
        <v>11.016666666666666</v>
      </c>
      <c r="O25">
        <f t="shared" si="3"/>
        <v>9.5166666666666657</v>
      </c>
    </row>
    <row r="26" spans="1:15" ht="15" thickBot="1" x14ac:dyDescent="0.35">
      <c r="A26" s="9">
        <v>28</v>
      </c>
      <c r="B26" s="16">
        <v>10.029999999999999</v>
      </c>
      <c r="C26" s="16">
        <v>10.72</v>
      </c>
      <c r="D26" s="16">
        <v>9.9600000000000009</v>
      </c>
      <c r="E26" s="16">
        <v>10.19</v>
      </c>
      <c r="F26" s="16">
        <v>10.26</v>
      </c>
      <c r="G26" s="16">
        <v>9.5</v>
      </c>
      <c r="H26" s="10">
        <v>218.6</v>
      </c>
      <c r="I26" s="10">
        <v>218.9</v>
      </c>
      <c r="J26" s="10">
        <v>216</v>
      </c>
      <c r="K26" s="13">
        <f t="shared" si="0"/>
        <v>217.83333333333334</v>
      </c>
      <c r="L26" s="10">
        <v>219.1</v>
      </c>
      <c r="M26">
        <f t="shared" si="1"/>
        <v>0.63333333333332575</v>
      </c>
      <c r="N26">
        <f t="shared" si="2"/>
        <v>10.866666666666674</v>
      </c>
      <c r="O26">
        <f t="shared" si="3"/>
        <v>9.3666666666666742</v>
      </c>
    </row>
    <row r="29" spans="1:15" ht="15" thickBot="1" x14ac:dyDescent="0.35">
      <c r="A29" t="s">
        <v>28</v>
      </c>
    </row>
    <row r="30" spans="1:15" ht="28.2" thickBot="1" x14ac:dyDescent="0.35">
      <c r="A30" s="11" t="s">
        <v>0</v>
      </c>
      <c r="B30" s="9" t="s">
        <v>1</v>
      </c>
      <c r="C30" s="9" t="s">
        <v>2</v>
      </c>
      <c r="D30" s="9" t="s">
        <v>3</v>
      </c>
      <c r="E30" s="9" t="s">
        <v>4</v>
      </c>
      <c r="F30" s="9" t="s">
        <v>5</v>
      </c>
      <c r="G30" s="9" t="s">
        <v>6</v>
      </c>
      <c r="H30" s="11" t="s">
        <v>22</v>
      </c>
      <c r="I30" s="11" t="s">
        <v>23</v>
      </c>
      <c r="J30" s="11" t="s">
        <v>24</v>
      </c>
      <c r="K30" s="14" t="s">
        <v>25</v>
      </c>
      <c r="N30" t="s">
        <v>33</v>
      </c>
      <c r="O30" t="s">
        <v>32</v>
      </c>
    </row>
    <row r="31" spans="1:15" ht="15" thickBot="1" x14ac:dyDescent="0.35">
      <c r="A31" s="11">
        <v>23</v>
      </c>
      <c r="B31" s="16">
        <v>8.75</v>
      </c>
      <c r="C31" s="16">
        <v>8.1300000000000008</v>
      </c>
      <c r="D31" s="16">
        <v>8.41</v>
      </c>
      <c r="E31" s="16">
        <v>8.94</v>
      </c>
      <c r="F31" s="16">
        <v>9.2200000000000006</v>
      </c>
      <c r="G31" s="16">
        <v>8.61</v>
      </c>
      <c r="H31" s="12">
        <v>215.5</v>
      </c>
      <c r="I31" s="12">
        <v>214.9</v>
      </c>
      <c r="J31" s="12">
        <v>214.5</v>
      </c>
      <c r="K31" s="13">
        <f t="shared" si="0"/>
        <v>214.96666666666667</v>
      </c>
      <c r="L31" s="10">
        <v>219.1</v>
      </c>
      <c r="M31">
        <f t="shared" ref="M31:M35" si="4">(L31-K31)/2</f>
        <v>2.0666666666666629</v>
      </c>
      <c r="N31">
        <f t="shared" ref="N31:N35" si="5">11.5-M31</f>
        <v>9.4333333333333371</v>
      </c>
      <c r="O31">
        <f t="shared" ref="O31:O35" si="6">N31-1.5</f>
        <v>7.9333333333333371</v>
      </c>
    </row>
    <row r="32" spans="1:15" s="22" customFormat="1" ht="15" thickBot="1" x14ac:dyDescent="0.35">
      <c r="A32" s="11">
        <v>24</v>
      </c>
      <c r="B32" s="20">
        <v>10.28</v>
      </c>
      <c r="C32" s="20">
        <v>10.210000000000001</v>
      </c>
      <c r="D32" s="20">
        <v>10.59</v>
      </c>
      <c r="E32" s="20">
        <v>9.48</v>
      </c>
      <c r="F32" s="20">
        <v>9.1</v>
      </c>
      <c r="G32" s="20">
        <v>9.41</v>
      </c>
      <c r="H32" s="11">
        <v>168.2</v>
      </c>
      <c r="I32" s="11">
        <v>168.5</v>
      </c>
      <c r="J32" s="11">
        <v>168.5</v>
      </c>
      <c r="K32" s="21">
        <f t="shared" si="0"/>
        <v>168.4</v>
      </c>
      <c r="L32" s="9">
        <v>170.2</v>
      </c>
      <c r="M32" s="22">
        <f t="shared" si="4"/>
        <v>0.89999999999999147</v>
      </c>
      <c r="N32" s="22">
        <f t="shared" si="5"/>
        <v>10.600000000000009</v>
      </c>
      <c r="O32" s="22">
        <f t="shared" si="6"/>
        <v>9.1000000000000085</v>
      </c>
    </row>
    <row r="33" spans="1:15" ht="15" thickBot="1" x14ac:dyDescent="0.35">
      <c r="A33" s="11">
        <v>25</v>
      </c>
      <c r="B33" s="16">
        <v>9.17</v>
      </c>
      <c r="C33" s="16">
        <v>9.2100000000000009</v>
      </c>
      <c r="D33" s="16">
        <v>10.36</v>
      </c>
      <c r="E33" s="16">
        <v>10.38</v>
      </c>
      <c r="F33" s="16">
        <v>10.42</v>
      </c>
      <c r="G33" s="16">
        <v>9.23</v>
      </c>
      <c r="H33" s="12">
        <v>217.6</v>
      </c>
      <c r="I33" s="12"/>
      <c r="J33" s="12">
        <v>216.8</v>
      </c>
      <c r="K33" s="13">
        <f t="shared" si="0"/>
        <v>217.2</v>
      </c>
      <c r="L33" s="10">
        <v>219.1</v>
      </c>
      <c r="M33">
        <f t="shared" si="4"/>
        <v>0.95000000000000284</v>
      </c>
      <c r="N33">
        <f t="shared" si="5"/>
        <v>10.549999999999997</v>
      </c>
      <c r="O33">
        <f t="shared" si="6"/>
        <v>9.0499999999999972</v>
      </c>
    </row>
    <row r="34" spans="1:15" ht="15" thickBot="1" x14ac:dyDescent="0.35">
      <c r="A34" s="11">
        <v>26</v>
      </c>
      <c r="B34" s="16">
        <v>9.2200000000000006</v>
      </c>
      <c r="C34" s="16">
        <v>9.5500000000000007</v>
      </c>
      <c r="D34" s="16">
        <v>9.56</v>
      </c>
      <c r="E34" s="16">
        <v>8.77</v>
      </c>
      <c r="F34" s="16">
        <v>8.44</v>
      </c>
      <c r="G34" s="16">
        <v>8.43</v>
      </c>
      <c r="H34" s="12">
        <v>215.6</v>
      </c>
      <c r="I34" s="12"/>
      <c r="J34" s="12">
        <v>215.6</v>
      </c>
      <c r="K34" s="13">
        <f t="shared" si="0"/>
        <v>215.6</v>
      </c>
      <c r="L34" s="10">
        <v>219.1</v>
      </c>
      <c r="M34">
        <f t="shared" si="4"/>
        <v>1.75</v>
      </c>
      <c r="N34">
        <f t="shared" si="5"/>
        <v>9.75</v>
      </c>
      <c r="O34">
        <f t="shared" si="6"/>
        <v>8.25</v>
      </c>
    </row>
    <row r="35" spans="1:15" ht="15" thickBot="1" x14ac:dyDescent="0.35">
      <c r="A35" s="11">
        <v>27</v>
      </c>
      <c r="B35" s="16">
        <v>10.33</v>
      </c>
      <c r="C35" s="16">
        <v>9.32</v>
      </c>
      <c r="D35" s="16">
        <v>8.89</v>
      </c>
      <c r="E35" s="16">
        <v>9.9</v>
      </c>
      <c r="F35" s="16">
        <v>9.24</v>
      </c>
      <c r="G35" s="16">
        <v>9.98</v>
      </c>
      <c r="H35" s="12">
        <v>216.7</v>
      </c>
      <c r="I35" s="12">
        <v>216.9</v>
      </c>
      <c r="J35" s="12">
        <v>216.9</v>
      </c>
      <c r="K35" s="13">
        <f t="shared" si="0"/>
        <v>216.83333333333334</v>
      </c>
      <c r="L35" s="10">
        <v>219.1</v>
      </c>
      <c r="M35">
        <f t="shared" si="4"/>
        <v>1.1333333333333258</v>
      </c>
      <c r="N35">
        <f t="shared" si="5"/>
        <v>10.366666666666674</v>
      </c>
      <c r="O35">
        <f t="shared" si="6"/>
        <v>8.8666666666666742</v>
      </c>
    </row>
    <row r="38" spans="1:15" ht="15" thickBot="1" x14ac:dyDescent="0.35">
      <c r="A38" t="s">
        <v>30</v>
      </c>
    </row>
    <row r="39" spans="1:15" ht="28.2" thickBot="1" x14ac:dyDescent="0.35">
      <c r="A39" s="11" t="s">
        <v>0</v>
      </c>
      <c r="B39" s="9" t="s">
        <v>1</v>
      </c>
      <c r="C39" s="9" t="s">
        <v>2</v>
      </c>
      <c r="D39" s="9" t="s">
        <v>3</v>
      </c>
      <c r="E39" s="9" t="s">
        <v>4</v>
      </c>
      <c r="F39" s="9" t="s">
        <v>5</v>
      </c>
      <c r="G39" s="9" t="s">
        <v>6</v>
      </c>
      <c r="H39" s="11" t="s">
        <v>22</v>
      </c>
      <c r="I39" s="11" t="s">
        <v>23</v>
      </c>
      <c r="J39" s="11" t="s">
        <v>24</v>
      </c>
      <c r="K39" s="14" t="s">
        <v>25</v>
      </c>
      <c r="N39" t="s">
        <v>33</v>
      </c>
      <c r="O39" t="s">
        <v>32</v>
      </c>
    </row>
    <row r="40" spans="1:15" ht="15" thickBot="1" x14ac:dyDescent="0.35">
      <c r="A40" s="11">
        <v>23</v>
      </c>
      <c r="B40" s="16">
        <v>9.81</v>
      </c>
      <c r="C40" s="16">
        <v>10.95</v>
      </c>
      <c r="D40" s="16">
        <v>10</v>
      </c>
      <c r="E40" s="16">
        <v>9.74</v>
      </c>
      <c r="F40" s="16">
        <v>11.02</v>
      </c>
      <c r="G40" s="16">
        <v>10.76</v>
      </c>
      <c r="H40" s="12">
        <v>218.8</v>
      </c>
      <c r="I40" s="12">
        <v>218.3</v>
      </c>
      <c r="J40" s="12">
        <v>218</v>
      </c>
      <c r="K40" s="13">
        <f t="shared" si="0"/>
        <v>218.36666666666667</v>
      </c>
      <c r="L40" s="10">
        <v>219.1</v>
      </c>
      <c r="M40">
        <f t="shared" ref="M40:M44" si="7">(L40-K40)/2</f>
        <v>0.36666666666666003</v>
      </c>
      <c r="N40">
        <f t="shared" ref="N40:N44" si="8">11.5-M40</f>
        <v>11.13333333333334</v>
      </c>
      <c r="O40">
        <f t="shared" ref="O40:O44" si="9">N40-1.5</f>
        <v>9.63333333333334</v>
      </c>
    </row>
    <row r="41" spans="1:15" ht="15" thickBot="1" x14ac:dyDescent="0.35">
      <c r="A41" s="11">
        <v>24</v>
      </c>
      <c r="B41" s="16">
        <v>9.51</v>
      </c>
      <c r="C41" s="16">
        <v>9.14</v>
      </c>
      <c r="D41" s="16">
        <v>10.19</v>
      </c>
      <c r="E41" s="16">
        <v>9.24</v>
      </c>
      <c r="F41" s="16">
        <v>10.28</v>
      </c>
      <c r="G41" s="16">
        <v>9.92</v>
      </c>
      <c r="H41" s="12">
        <v>217.8</v>
      </c>
      <c r="I41" s="12">
        <v>217</v>
      </c>
      <c r="J41" s="12">
        <v>216.3</v>
      </c>
      <c r="K41" s="13">
        <f t="shared" si="0"/>
        <v>217.03333333333333</v>
      </c>
      <c r="L41" s="10">
        <v>219.1</v>
      </c>
      <c r="M41">
        <f t="shared" si="7"/>
        <v>1.0333333333333314</v>
      </c>
      <c r="N41">
        <f t="shared" si="8"/>
        <v>10.466666666666669</v>
      </c>
      <c r="O41">
        <f t="shared" si="9"/>
        <v>8.9666666666666686</v>
      </c>
    </row>
    <row r="42" spans="1:15" ht="15" thickBot="1" x14ac:dyDescent="0.35">
      <c r="A42" s="11">
        <v>25</v>
      </c>
      <c r="B42" s="16">
        <v>9.43</v>
      </c>
      <c r="C42" s="16">
        <v>9.7100000000000009</v>
      </c>
      <c r="D42" s="16">
        <v>9.7200000000000006</v>
      </c>
      <c r="E42" s="16">
        <v>10.210000000000001</v>
      </c>
      <c r="F42" s="16">
        <v>8.93</v>
      </c>
      <c r="G42" s="16">
        <v>9.42</v>
      </c>
      <c r="H42" s="12">
        <v>216.7</v>
      </c>
      <c r="I42" s="12"/>
      <c r="J42" s="12">
        <v>216.8</v>
      </c>
      <c r="K42" s="13">
        <f t="shared" si="0"/>
        <v>216.75</v>
      </c>
      <c r="L42" s="10">
        <v>219.1</v>
      </c>
      <c r="M42">
        <f t="shared" si="7"/>
        <v>1.1749999999999972</v>
      </c>
      <c r="N42">
        <f t="shared" si="8"/>
        <v>10.325000000000003</v>
      </c>
      <c r="O42">
        <f t="shared" si="9"/>
        <v>8.8250000000000028</v>
      </c>
    </row>
    <row r="43" spans="1:15" ht="15" thickBot="1" x14ac:dyDescent="0.35">
      <c r="A43" s="11">
        <v>26</v>
      </c>
      <c r="B43" s="16">
        <v>10.86</v>
      </c>
      <c r="C43" s="16">
        <v>11.02</v>
      </c>
      <c r="D43" s="16">
        <v>9.91</v>
      </c>
      <c r="E43" s="16">
        <v>9.6999999999999993</v>
      </c>
      <c r="F43" s="16">
        <v>9.5399999999999991</v>
      </c>
      <c r="G43" s="16">
        <v>10.64</v>
      </c>
      <c r="H43" s="12">
        <v>218.9</v>
      </c>
      <c r="I43" s="12">
        <v>217.5</v>
      </c>
      <c r="J43" s="12">
        <v>218.1</v>
      </c>
      <c r="K43" s="13">
        <f t="shared" si="0"/>
        <v>218.16666666666666</v>
      </c>
      <c r="L43" s="10">
        <v>219.1</v>
      </c>
      <c r="M43">
        <f t="shared" si="7"/>
        <v>0.46666666666666856</v>
      </c>
      <c r="N43">
        <f t="shared" si="8"/>
        <v>11.033333333333331</v>
      </c>
      <c r="O43">
        <f t="shared" si="9"/>
        <v>9.5333333333333314</v>
      </c>
    </row>
    <row r="44" spans="1:15" ht="15" thickBot="1" x14ac:dyDescent="0.35">
      <c r="A44" s="11">
        <v>27</v>
      </c>
      <c r="B44" s="16">
        <v>9.1199999999999992</v>
      </c>
      <c r="C44" s="16">
        <v>9.0500000000000007</v>
      </c>
      <c r="D44" s="16">
        <v>9.49</v>
      </c>
      <c r="E44" s="16">
        <v>9</v>
      </c>
      <c r="F44" s="16">
        <v>9.44</v>
      </c>
      <c r="G44" s="16">
        <v>9.3699999999999992</v>
      </c>
      <c r="H44" s="12">
        <v>215.6</v>
      </c>
      <c r="I44" s="12">
        <v>216.6</v>
      </c>
      <c r="J44" s="12" t="s">
        <v>31</v>
      </c>
      <c r="K44" s="13">
        <f t="shared" si="0"/>
        <v>216.1</v>
      </c>
      <c r="L44" s="10">
        <v>219.1</v>
      </c>
      <c r="M44">
        <f t="shared" si="7"/>
        <v>1.5</v>
      </c>
      <c r="N44">
        <f t="shared" si="8"/>
        <v>10</v>
      </c>
      <c r="O44">
        <f t="shared" si="9"/>
        <v>8.5</v>
      </c>
    </row>
  </sheetData>
  <mergeCells count="4">
    <mergeCell ref="B2:F2"/>
    <mergeCell ref="H2:J2"/>
    <mergeCell ref="K2:K3"/>
    <mergeCell ref="A2:A3"/>
  </mergeCells>
  <conditionalFormatting sqref="B4:G26">
    <cfRule type="cellIs" dxfId="8" priority="7" operator="lessThan">
      <formula>6</formula>
    </cfRule>
    <cfRule type="cellIs" dxfId="7" priority="8" operator="between">
      <formula>6</formula>
      <formula>9</formula>
    </cfRule>
    <cfRule type="cellIs" dxfId="6" priority="9" operator="greaterThan">
      <formula>9</formula>
    </cfRule>
  </conditionalFormatting>
  <conditionalFormatting sqref="B31:G35">
    <cfRule type="cellIs" dxfId="5" priority="4" operator="lessThan">
      <formula>6</formula>
    </cfRule>
    <cfRule type="cellIs" dxfId="4" priority="5" operator="between">
      <formula>6</formula>
      <formula>9</formula>
    </cfRule>
    <cfRule type="cellIs" dxfId="3" priority="6" operator="greaterThan">
      <formula>9</formula>
    </cfRule>
  </conditionalFormatting>
  <conditionalFormatting sqref="B40:G44">
    <cfRule type="cellIs" dxfId="2" priority="1" operator="lessThan">
      <formula>6</formula>
    </cfRule>
    <cfRule type="cellIs" dxfId="1" priority="2" operator="between">
      <formula>6</formula>
      <formula>9</formula>
    </cfRule>
    <cfRule type="cellIs" dxfId="0" priority="3" operator="greaterThan">
      <formula>9</formula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1165B-1B19-49B6-984D-E113B7701109}">
  <dimension ref="A1:O91"/>
  <sheetViews>
    <sheetView topLeftCell="A11" workbookViewId="0">
      <selection activeCell="A112" sqref="A112"/>
    </sheetView>
  </sheetViews>
  <sheetFormatPr baseColWidth="10" defaultRowHeight="14.4" x14ac:dyDescent="0.3"/>
  <sheetData>
    <row r="1" spans="1:15" ht="18.600000000000001" thickBot="1" x14ac:dyDescent="0.35">
      <c r="A1" s="28" t="s">
        <v>43</v>
      </c>
    </row>
    <row r="2" spans="1:15" ht="42" thickBot="1" x14ac:dyDescent="0.35">
      <c r="A2" s="9" t="s">
        <v>0</v>
      </c>
      <c r="B2" s="9" t="s">
        <v>35</v>
      </c>
      <c r="C2" s="9" t="s">
        <v>36</v>
      </c>
      <c r="D2" s="9" t="s">
        <v>37</v>
      </c>
      <c r="E2" s="9" t="s">
        <v>38</v>
      </c>
      <c r="F2" s="9" t="s">
        <v>39</v>
      </c>
      <c r="G2" s="9" t="s">
        <v>22</v>
      </c>
      <c r="H2" s="9" t="s">
        <v>23</v>
      </c>
      <c r="I2" s="9" t="s">
        <v>24</v>
      </c>
      <c r="J2" s="9" t="s">
        <v>4</v>
      </c>
      <c r="K2" s="29" t="s">
        <v>45</v>
      </c>
      <c r="L2" s="29" t="s">
        <v>46</v>
      </c>
      <c r="M2" s="29" t="s">
        <v>49</v>
      </c>
      <c r="N2" t="s">
        <v>47</v>
      </c>
      <c r="O2" t="s">
        <v>48</v>
      </c>
    </row>
    <row r="3" spans="1:15" ht="15" thickBot="1" x14ac:dyDescent="0.35">
      <c r="A3" s="9">
        <v>1</v>
      </c>
      <c r="B3" s="10">
        <v>8.76</v>
      </c>
      <c r="C3" s="10">
        <v>10.14</v>
      </c>
      <c r="D3" s="10">
        <v>8.18</v>
      </c>
      <c r="E3" s="10"/>
      <c r="F3" s="10"/>
      <c r="G3" s="10">
        <v>218.2</v>
      </c>
      <c r="H3" s="10">
        <v>216</v>
      </c>
      <c r="I3" s="10">
        <v>216.4</v>
      </c>
      <c r="J3" s="10"/>
      <c r="K3">
        <f>AVERAGE(G3:J3)</f>
        <v>216.86666666666667</v>
      </c>
      <c r="L3">
        <f>219.1</f>
        <v>219.1</v>
      </c>
      <c r="M3">
        <f>(L3-K3)/2</f>
        <v>1.11666666666666</v>
      </c>
      <c r="N3">
        <f>11.5-M3</f>
        <v>10.38333333333334</v>
      </c>
      <c r="O3">
        <f>N3-1.5</f>
        <v>8.88333333333334</v>
      </c>
    </row>
    <row r="4" spans="1:15" ht="15" thickBot="1" x14ac:dyDescent="0.35">
      <c r="A4" s="9">
        <v>2</v>
      </c>
      <c r="B4" s="10">
        <v>9.4</v>
      </c>
      <c r="C4" s="10">
        <v>8.65</v>
      </c>
      <c r="D4" s="10">
        <v>8.83</v>
      </c>
      <c r="E4" s="10">
        <v>8.81</v>
      </c>
      <c r="F4" s="10">
        <v>8.52</v>
      </c>
      <c r="G4" s="10">
        <v>217.3</v>
      </c>
      <c r="H4" s="10"/>
      <c r="I4" s="10"/>
      <c r="J4" s="10"/>
      <c r="K4">
        <f t="shared" ref="K4:K67" si="0">AVERAGE(G4:J4)</f>
        <v>217.3</v>
      </c>
      <c r="L4">
        <f t="shared" ref="L4:L67" si="1">219.1</f>
        <v>219.1</v>
      </c>
      <c r="M4">
        <f t="shared" ref="M4:M30" si="2">(L4-K4)/2</f>
        <v>0.89999999999999147</v>
      </c>
      <c r="N4">
        <f t="shared" ref="N4:N30" si="3">11.5-M4</f>
        <v>10.600000000000009</v>
      </c>
      <c r="O4">
        <f t="shared" ref="O4:O30" si="4">N4-1.5</f>
        <v>9.1000000000000085</v>
      </c>
    </row>
    <row r="5" spans="1:15" ht="15" thickBot="1" x14ac:dyDescent="0.35">
      <c r="A5" s="9">
        <v>3</v>
      </c>
      <c r="B5" s="10">
        <v>8.35</v>
      </c>
      <c r="C5" s="10">
        <v>8.33</v>
      </c>
      <c r="D5" s="10">
        <v>9.34</v>
      </c>
      <c r="E5" s="10">
        <v>9.48</v>
      </c>
      <c r="F5" s="10">
        <v>8.24</v>
      </c>
      <c r="G5" s="10">
        <v>216.8</v>
      </c>
      <c r="H5" s="10"/>
      <c r="I5" s="10"/>
      <c r="J5" s="10"/>
      <c r="K5">
        <f t="shared" si="0"/>
        <v>216.8</v>
      </c>
      <c r="L5">
        <f t="shared" si="1"/>
        <v>219.1</v>
      </c>
      <c r="M5">
        <f t="shared" si="2"/>
        <v>1.1499999999999915</v>
      </c>
      <c r="N5">
        <f t="shared" si="3"/>
        <v>10.350000000000009</v>
      </c>
      <c r="O5">
        <f t="shared" si="4"/>
        <v>8.8500000000000085</v>
      </c>
    </row>
    <row r="6" spans="1:15" ht="15" thickBot="1" x14ac:dyDescent="0.35">
      <c r="A6" s="9">
        <v>4</v>
      </c>
      <c r="B6" s="10">
        <v>12.62</v>
      </c>
      <c r="C6" s="10">
        <v>8.01</v>
      </c>
      <c r="D6" s="10">
        <v>12.24</v>
      </c>
      <c r="E6" s="10">
        <v>10.130000000000001</v>
      </c>
      <c r="F6" s="10">
        <v>9.0299999999999994</v>
      </c>
      <c r="G6" s="10">
        <v>218.3</v>
      </c>
      <c r="H6" s="10">
        <v>219.2</v>
      </c>
      <c r="I6" s="10">
        <v>218.1</v>
      </c>
      <c r="J6" s="10">
        <v>217.5</v>
      </c>
      <c r="K6">
        <f t="shared" si="0"/>
        <v>218.27500000000001</v>
      </c>
      <c r="L6">
        <f t="shared" si="1"/>
        <v>219.1</v>
      </c>
      <c r="M6">
        <f t="shared" si="2"/>
        <v>0.41249999999999432</v>
      </c>
      <c r="N6">
        <f t="shared" si="3"/>
        <v>11.087500000000006</v>
      </c>
      <c r="O6">
        <f t="shared" si="4"/>
        <v>9.5875000000000057</v>
      </c>
    </row>
    <row r="7" spans="1:15" ht="15" thickBot="1" x14ac:dyDescent="0.35">
      <c r="A7" s="9">
        <v>5</v>
      </c>
      <c r="B7" s="10">
        <v>9.1199999999999992</v>
      </c>
      <c r="C7" s="10">
        <v>11.24</v>
      </c>
      <c r="D7" s="10">
        <v>10.72</v>
      </c>
      <c r="E7" s="10">
        <v>11.35</v>
      </c>
      <c r="F7" s="10">
        <v>11.65</v>
      </c>
      <c r="G7" s="10">
        <v>216.9</v>
      </c>
      <c r="H7" s="10"/>
      <c r="I7" s="10"/>
      <c r="J7" s="10"/>
      <c r="K7">
        <f t="shared" si="0"/>
        <v>216.9</v>
      </c>
      <c r="L7">
        <f t="shared" si="1"/>
        <v>219.1</v>
      </c>
      <c r="M7">
        <f t="shared" si="2"/>
        <v>1.0999999999999943</v>
      </c>
      <c r="N7">
        <f t="shared" si="3"/>
        <v>10.400000000000006</v>
      </c>
      <c r="O7">
        <f t="shared" si="4"/>
        <v>8.9000000000000057</v>
      </c>
    </row>
    <row r="8" spans="1:15" ht="15" thickBot="1" x14ac:dyDescent="0.35">
      <c r="A8" s="9">
        <v>6</v>
      </c>
      <c r="B8" s="10">
        <v>8.83</v>
      </c>
      <c r="C8" s="10">
        <v>11.85</v>
      </c>
      <c r="D8" s="10">
        <v>9.35</v>
      </c>
      <c r="E8" s="10">
        <v>8.8800000000000008</v>
      </c>
      <c r="F8" s="10">
        <v>9.07</v>
      </c>
      <c r="G8" s="10">
        <v>217.6</v>
      </c>
      <c r="H8" s="10"/>
      <c r="I8" s="10"/>
      <c r="J8" s="10"/>
      <c r="K8">
        <f t="shared" si="0"/>
        <v>217.6</v>
      </c>
      <c r="L8">
        <f t="shared" si="1"/>
        <v>219.1</v>
      </c>
      <c r="M8">
        <f t="shared" si="2"/>
        <v>0.75</v>
      </c>
      <c r="N8">
        <f t="shared" si="3"/>
        <v>10.75</v>
      </c>
      <c r="O8">
        <f t="shared" si="4"/>
        <v>9.25</v>
      </c>
    </row>
    <row r="9" spans="1:15" ht="15" thickBot="1" x14ac:dyDescent="0.35">
      <c r="A9" s="9">
        <v>7</v>
      </c>
      <c r="B9" s="10">
        <v>11.02</v>
      </c>
      <c r="C9" s="10">
        <v>11.85</v>
      </c>
      <c r="D9" s="10">
        <v>8.4</v>
      </c>
      <c r="E9" s="10"/>
      <c r="F9" s="10"/>
      <c r="G9" s="10">
        <v>215.5</v>
      </c>
      <c r="H9" s="10"/>
      <c r="I9" s="10">
        <v>215.8</v>
      </c>
      <c r="J9" s="10"/>
      <c r="K9">
        <f t="shared" si="0"/>
        <v>215.65</v>
      </c>
      <c r="L9">
        <f t="shared" si="1"/>
        <v>219.1</v>
      </c>
      <c r="M9">
        <f t="shared" si="2"/>
        <v>1.7249999999999943</v>
      </c>
      <c r="N9">
        <f t="shared" si="3"/>
        <v>9.7750000000000057</v>
      </c>
      <c r="O9">
        <f t="shared" si="4"/>
        <v>8.2750000000000057</v>
      </c>
    </row>
    <row r="10" spans="1:15" ht="15" thickBot="1" x14ac:dyDescent="0.35">
      <c r="A10" s="9">
        <v>8</v>
      </c>
      <c r="B10" s="10">
        <v>10.29</v>
      </c>
      <c r="C10" s="10">
        <v>9.6</v>
      </c>
      <c r="D10" s="10">
        <v>8.7100000000000009</v>
      </c>
      <c r="E10" s="10">
        <v>8.94</v>
      </c>
      <c r="F10" s="10">
        <v>8.4700000000000006</v>
      </c>
      <c r="G10" s="10">
        <v>216.1</v>
      </c>
      <c r="H10" s="10">
        <v>213.5</v>
      </c>
      <c r="I10" s="10">
        <v>215</v>
      </c>
      <c r="J10" s="10">
        <v>215.65</v>
      </c>
      <c r="K10">
        <f t="shared" si="0"/>
        <v>215.0625</v>
      </c>
      <c r="L10">
        <f t="shared" si="1"/>
        <v>219.1</v>
      </c>
      <c r="M10">
        <f t="shared" si="2"/>
        <v>2.0187499999999972</v>
      </c>
      <c r="N10">
        <f t="shared" si="3"/>
        <v>9.4812500000000028</v>
      </c>
      <c r="O10">
        <f t="shared" si="4"/>
        <v>7.9812500000000028</v>
      </c>
    </row>
    <row r="11" spans="1:15" ht="15" thickBot="1" x14ac:dyDescent="0.35">
      <c r="A11" s="9">
        <v>9</v>
      </c>
      <c r="B11" s="10">
        <v>9.5399999999999991</v>
      </c>
      <c r="C11" s="10">
        <v>8.59</v>
      </c>
      <c r="D11" s="10">
        <v>8.0399999999999991</v>
      </c>
      <c r="E11" s="10">
        <v>8.3000000000000007</v>
      </c>
      <c r="F11" s="10">
        <v>8.3000000000000007</v>
      </c>
      <c r="G11" s="10">
        <v>216.7</v>
      </c>
      <c r="H11" s="10">
        <v>215.5</v>
      </c>
      <c r="I11" s="10">
        <v>216.7</v>
      </c>
      <c r="J11" s="10">
        <v>217.15</v>
      </c>
      <c r="K11">
        <f t="shared" si="0"/>
        <v>216.51249999999999</v>
      </c>
      <c r="L11">
        <f t="shared" si="1"/>
        <v>219.1</v>
      </c>
      <c r="M11">
        <f t="shared" si="2"/>
        <v>1.2937500000000028</v>
      </c>
      <c r="N11">
        <f t="shared" si="3"/>
        <v>10.206249999999997</v>
      </c>
      <c r="O11">
        <f t="shared" si="4"/>
        <v>8.7062499999999972</v>
      </c>
    </row>
    <row r="12" spans="1:15" ht="15" thickBot="1" x14ac:dyDescent="0.35">
      <c r="A12" s="9">
        <v>10</v>
      </c>
      <c r="B12" s="10">
        <v>8.42</v>
      </c>
      <c r="C12" s="10">
        <v>8.17</v>
      </c>
      <c r="D12" s="10">
        <v>8.4700000000000006</v>
      </c>
      <c r="E12" s="10">
        <v>8.5299999999999994</v>
      </c>
      <c r="F12" s="10">
        <v>8.56</v>
      </c>
      <c r="G12" s="10">
        <v>216.1</v>
      </c>
      <c r="H12" s="10">
        <v>214.3</v>
      </c>
      <c r="I12" s="10">
        <v>217.1</v>
      </c>
      <c r="J12" s="10">
        <v>216.55</v>
      </c>
      <c r="K12">
        <f t="shared" si="0"/>
        <v>216.01249999999999</v>
      </c>
      <c r="L12">
        <f t="shared" si="1"/>
        <v>219.1</v>
      </c>
      <c r="M12">
        <f t="shared" si="2"/>
        <v>1.5437500000000028</v>
      </c>
      <c r="N12">
        <f t="shared" si="3"/>
        <v>9.9562499999999972</v>
      </c>
      <c r="O12">
        <f t="shared" si="4"/>
        <v>8.4562499999999972</v>
      </c>
    </row>
    <row r="13" spans="1:15" ht="15" thickBot="1" x14ac:dyDescent="0.35">
      <c r="A13" s="9">
        <v>11</v>
      </c>
      <c r="B13" s="10">
        <v>9.23</v>
      </c>
      <c r="C13" s="10">
        <v>8.52</v>
      </c>
      <c r="D13" s="10">
        <v>8.33</v>
      </c>
      <c r="E13" s="10">
        <v>8.65</v>
      </c>
      <c r="F13" s="10">
        <v>7.99</v>
      </c>
      <c r="G13" s="10">
        <v>218.4</v>
      </c>
      <c r="H13" s="10">
        <v>218.6</v>
      </c>
      <c r="I13" s="10">
        <v>218.4</v>
      </c>
      <c r="J13" s="10">
        <v>217.9</v>
      </c>
      <c r="K13">
        <f t="shared" si="0"/>
        <v>218.32499999999999</v>
      </c>
      <c r="L13">
        <f t="shared" si="1"/>
        <v>219.1</v>
      </c>
      <c r="M13">
        <f t="shared" si="2"/>
        <v>0.38750000000000284</v>
      </c>
      <c r="N13">
        <f t="shared" si="3"/>
        <v>11.112499999999997</v>
      </c>
      <c r="O13">
        <f t="shared" si="4"/>
        <v>9.6124999999999972</v>
      </c>
    </row>
    <row r="14" spans="1:15" ht="15" thickBot="1" x14ac:dyDescent="0.35">
      <c r="A14" s="9">
        <v>12</v>
      </c>
      <c r="B14" s="10">
        <v>8.11</v>
      </c>
      <c r="C14" s="10">
        <v>8.06</v>
      </c>
      <c r="D14" s="10">
        <v>8.4700000000000006</v>
      </c>
      <c r="E14" s="10">
        <v>8.2899999999999991</v>
      </c>
      <c r="F14" s="10">
        <v>8.18</v>
      </c>
      <c r="G14" s="10">
        <v>216</v>
      </c>
      <c r="H14" s="10">
        <v>216.5</v>
      </c>
      <c r="I14" s="10">
        <v>216.4</v>
      </c>
      <c r="J14" s="10"/>
      <c r="K14">
        <f t="shared" si="0"/>
        <v>216.29999999999998</v>
      </c>
      <c r="L14">
        <f t="shared" si="1"/>
        <v>219.1</v>
      </c>
      <c r="M14">
        <f t="shared" si="2"/>
        <v>1.4000000000000057</v>
      </c>
      <c r="N14">
        <f t="shared" si="3"/>
        <v>10.099999999999994</v>
      </c>
      <c r="O14">
        <f t="shared" si="4"/>
        <v>8.5999999999999943</v>
      </c>
    </row>
    <row r="15" spans="1:15" ht="15" thickBot="1" x14ac:dyDescent="0.35">
      <c r="A15" s="9">
        <v>13</v>
      </c>
      <c r="B15" s="10">
        <v>8.64</v>
      </c>
      <c r="C15" s="10">
        <v>8.4</v>
      </c>
      <c r="D15" s="10">
        <v>8.27</v>
      </c>
      <c r="E15" s="10">
        <v>8.24</v>
      </c>
      <c r="F15" s="10">
        <v>8.24</v>
      </c>
      <c r="G15" s="10">
        <v>215.9</v>
      </c>
      <c r="H15" s="10">
        <v>215.8</v>
      </c>
      <c r="I15" s="10">
        <v>215.3</v>
      </c>
      <c r="J15" s="10"/>
      <c r="K15">
        <f t="shared" si="0"/>
        <v>215.66666666666666</v>
      </c>
      <c r="L15">
        <f t="shared" si="1"/>
        <v>219.1</v>
      </c>
      <c r="M15">
        <f t="shared" si="2"/>
        <v>1.7166666666666686</v>
      </c>
      <c r="N15">
        <f t="shared" si="3"/>
        <v>9.7833333333333314</v>
      </c>
      <c r="O15">
        <f t="shared" si="4"/>
        <v>8.2833333333333314</v>
      </c>
    </row>
    <row r="16" spans="1:15" ht="15" thickBot="1" x14ac:dyDescent="0.35">
      <c r="A16" s="9">
        <v>14</v>
      </c>
      <c r="B16" s="10">
        <v>8.1199999999999992</v>
      </c>
      <c r="C16" s="10">
        <v>8.4</v>
      </c>
      <c r="D16" s="10">
        <v>8.1</v>
      </c>
      <c r="E16" s="10">
        <v>8.44</v>
      </c>
      <c r="F16" s="10">
        <v>8.2799999999999994</v>
      </c>
      <c r="G16" s="10">
        <v>216.9</v>
      </c>
      <c r="H16" s="10">
        <v>216.4</v>
      </c>
      <c r="I16" s="10">
        <v>216.9</v>
      </c>
      <c r="J16" s="10"/>
      <c r="K16">
        <f t="shared" si="0"/>
        <v>216.73333333333335</v>
      </c>
      <c r="L16">
        <f t="shared" si="1"/>
        <v>219.1</v>
      </c>
      <c r="M16">
        <f t="shared" si="2"/>
        <v>1.1833333333333229</v>
      </c>
      <c r="N16">
        <f t="shared" si="3"/>
        <v>10.316666666666677</v>
      </c>
      <c r="O16">
        <f t="shared" si="4"/>
        <v>8.8166666666666771</v>
      </c>
    </row>
    <row r="17" spans="1:15" ht="15" thickBot="1" x14ac:dyDescent="0.35">
      <c r="A17" s="9">
        <v>15</v>
      </c>
      <c r="B17" s="10">
        <v>8.35</v>
      </c>
      <c r="C17" s="10">
        <v>9.24</v>
      </c>
      <c r="D17" s="10">
        <v>8.65</v>
      </c>
      <c r="E17" s="10"/>
      <c r="F17" s="10"/>
      <c r="G17" s="10">
        <v>218.2</v>
      </c>
      <c r="H17" s="10"/>
      <c r="I17" s="10"/>
      <c r="J17" s="10"/>
      <c r="K17">
        <f t="shared" si="0"/>
        <v>218.2</v>
      </c>
      <c r="L17">
        <f t="shared" si="1"/>
        <v>219.1</v>
      </c>
      <c r="M17">
        <f t="shared" si="2"/>
        <v>0.45000000000000284</v>
      </c>
      <c r="N17">
        <f t="shared" si="3"/>
        <v>11.049999999999997</v>
      </c>
      <c r="O17">
        <f t="shared" si="4"/>
        <v>9.5499999999999972</v>
      </c>
    </row>
    <row r="18" spans="1:15" ht="15" thickBot="1" x14ac:dyDescent="0.35">
      <c r="A18" s="9">
        <v>16</v>
      </c>
      <c r="B18" s="10">
        <v>8.4</v>
      </c>
      <c r="C18" s="10">
        <v>7.95</v>
      </c>
      <c r="D18" s="10">
        <v>7.98</v>
      </c>
      <c r="E18" s="10"/>
      <c r="F18" s="10"/>
      <c r="G18" s="10">
        <v>218.2</v>
      </c>
      <c r="H18" s="10"/>
      <c r="I18" s="10"/>
      <c r="J18" s="10"/>
      <c r="K18">
        <f t="shared" si="0"/>
        <v>218.2</v>
      </c>
      <c r="L18">
        <f t="shared" si="1"/>
        <v>219.1</v>
      </c>
      <c r="M18">
        <f t="shared" si="2"/>
        <v>0.45000000000000284</v>
      </c>
      <c r="N18">
        <f t="shared" si="3"/>
        <v>11.049999999999997</v>
      </c>
      <c r="O18">
        <f t="shared" si="4"/>
        <v>9.5499999999999972</v>
      </c>
    </row>
    <row r="19" spans="1:15" ht="15" thickBot="1" x14ac:dyDescent="0.35">
      <c r="A19" s="9">
        <v>17</v>
      </c>
      <c r="B19" s="10">
        <v>9.81</v>
      </c>
      <c r="C19" s="10">
        <v>8.51</v>
      </c>
      <c r="D19" s="10">
        <v>8.86</v>
      </c>
      <c r="E19" s="10">
        <v>8.89</v>
      </c>
      <c r="F19" s="10">
        <v>8.83</v>
      </c>
      <c r="G19" s="10">
        <v>218.3</v>
      </c>
      <c r="H19" s="10">
        <v>216.9</v>
      </c>
      <c r="I19" s="10">
        <v>216.8</v>
      </c>
      <c r="J19" s="10">
        <v>215.8</v>
      </c>
      <c r="K19">
        <f t="shared" si="0"/>
        <v>216.95</v>
      </c>
      <c r="L19">
        <f t="shared" si="1"/>
        <v>219.1</v>
      </c>
      <c r="M19">
        <f t="shared" si="2"/>
        <v>1.0750000000000028</v>
      </c>
      <c r="N19">
        <f t="shared" si="3"/>
        <v>10.424999999999997</v>
      </c>
      <c r="O19">
        <f t="shared" si="4"/>
        <v>8.9249999999999972</v>
      </c>
    </row>
    <row r="20" spans="1:15" ht="15" thickBot="1" x14ac:dyDescent="0.35">
      <c r="A20" s="9">
        <v>18</v>
      </c>
      <c r="B20" s="10">
        <v>8.02</v>
      </c>
      <c r="C20" s="10">
        <v>8.36</v>
      </c>
      <c r="D20" s="10">
        <v>7.98</v>
      </c>
      <c r="E20" s="10">
        <v>8.01</v>
      </c>
      <c r="F20" s="10">
        <v>8.7100000000000009</v>
      </c>
      <c r="G20" s="10">
        <v>219</v>
      </c>
      <c r="H20" s="10">
        <v>215.1</v>
      </c>
      <c r="I20" s="10"/>
      <c r="J20" s="10">
        <v>216.7</v>
      </c>
      <c r="K20">
        <f t="shared" si="0"/>
        <v>216.93333333333331</v>
      </c>
      <c r="L20">
        <f t="shared" si="1"/>
        <v>219.1</v>
      </c>
      <c r="M20">
        <f t="shared" si="2"/>
        <v>1.0833333333333428</v>
      </c>
      <c r="N20">
        <f t="shared" si="3"/>
        <v>10.416666666666657</v>
      </c>
      <c r="O20">
        <f t="shared" si="4"/>
        <v>8.9166666666666572</v>
      </c>
    </row>
    <row r="21" spans="1:15" ht="15" thickBot="1" x14ac:dyDescent="0.35">
      <c r="A21" s="9">
        <v>19</v>
      </c>
      <c r="B21" s="10">
        <v>9.07</v>
      </c>
      <c r="C21" s="10">
        <v>8.56</v>
      </c>
      <c r="D21" s="10">
        <v>9.1199999999999992</v>
      </c>
      <c r="E21" s="10">
        <v>8.3000000000000007</v>
      </c>
      <c r="F21" s="10">
        <v>8.5299999999999994</v>
      </c>
      <c r="G21" s="10">
        <v>218.3</v>
      </c>
      <c r="H21" s="10">
        <v>216</v>
      </c>
      <c r="I21" s="10">
        <v>216.4</v>
      </c>
      <c r="J21" s="10">
        <v>216.65</v>
      </c>
      <c r="K21">
        <f t="shared" si="0"/>
        <v>216.83750000000001</v>
      </c>
      <c r="L21">
        <f t="shared" si="1"/>
        <v>219.1</v>
      </c>
      <c r="M21">
        <f t="shared" si="2"/>
        <v>1.1312499999999943</v>
      </c>
      <c r="N21">
        <f t="shared" si="3"/>
        <v>10.368750000000006</v>
      </c>
      <c r="O21">
        <f t="shared" si="4"/>
        <v>8.8687500000000057</v>
      </c>
    </row>
    <row r="22" spans="1:15" ht="15" thickBot="1" x14ac:dyDescent="0.35">
      <c r="A22" s="9">
        <v>20</v>
      </c>
      <c r="B22" s="10">
        <v>8.17</v>
      </c>
      <c r="C22" s="10">
        <v>8.16</v>
      </c>
      <c r="D22" s="10">
        <v>8.06</v>
      </c>
      <c r="E22" s="10">
        <v>9</v>
      </c>
      <c r="F22" s="10">
        <v>9.0299999999999994</v>
      </c>
      <c r="G22" s="10">
        <v>217.3</v>
      </c>
      <c r="H22" s="10">
        <v>217.4</v>
      </c>
      <c r="I22" s="10">
        <v>218</v>
      </c>
      <c r="J22" s="10">
        <v>217.8</v>
      </c>
      <c r="K22">
        <f t="shared" si="0"/>
        <v>217.625</v>
      </c>
      <c r="L22">
        <f t="shared" si="1"/>
        <v>219.1</v>
      </c>
      <c r="M22">
        <f t="shared" si="2"/>
        <v>0.73749999999999716</v>
      </c>
      <c r="N22">
        <f t="shared" si="3"/>
        <v>10.762500000000003</v>
      </c>
      <c r="O22">
        <f t="shared" si="4"/>
        <v>9.2625000000000028</v>
      </c>
    </row>
    <row r="23" spans="1:15" ht="15" thickBot="1" x14ac:dyDescent="0.35">
      <c r="A23" s="9">
        <v>21</v>
      </c>
      <c r="B23" s="10">
        <v>8.51</v>
      </c>
      <c r="C23" s="10">
        <v>11.13</v>
      </c>
      <c r="D23" s="10">
        <v>8.1199999999999992</v>
      </c>
      <c r="E23" s="10"/>
      <c r="F23" s="10"/>
      <c r="G23" s="10">
        <v>219.1</v>
      </c>
      <c r="H23" s="10">
        <v>218.4</v>
      </c>
      <c r="I23" s="10">
        <v>218.5</v>
      </c>
      <c r="J23" s="10"/>
      <c r="K23">
        <f t="shared" si="0"/>
        <v>218.66666666666666</v>
      </c>
      <c r="L23">
        <f t="shared" si="1"/>
        <v>219.1</v>
      </c>
      <c r="M23">
        <f t="shared" si="2"/>
        <v>0.21666666666666856</v>
      </c>
      <c r="N23">
        <f t="shared" si="3"/>
        <v>11.283333333333331</v>
      </c>
      <c r="O23">
        <f t="shared" si="4"/>
        <v>9.7833333333333314</v>
      </c>
    </row>
    <row r="24" spans="1:15" ht="15" thickBot="1" x14ac:dyDescent="0.35">
      <c r="A24" s="9">
        <v>22</v>
      </c>
      <c r="B24" s="10">
        <v>11.7</v>
      </c>
      <c r="C24" s="10">
        <v>8.9499999999999993</v>
      </c>
      <c r="D24" s="10">
        <v>8.6199999999999992</v>
      </c>
      <c r="E24" s="10">
        <v>11.83</v>
      </c>
      <c r="F24" s="10">
        <v>11.59</v>
      </c>
      <c r="G24" s="10">
        <v>217.2</v>
      </c>
      <c r="H24" s="10">
        <v>217.1</v>
      </c>
      <c r="I24" s="10">
        <v>216.4</v>
      </c>
      <c r="J24" s="10"/>
      <c r="K24">
        <f t="shared" si="0"/>
        <v>216.89999999999998</v>
      </c>
      <c r="L24">
        <f t="shared" si="1"/>
        <v>219.1</v>
      </c>
      <c r="M24">
        <f t="shared" si="2"/>
        <v>1.1000000000000085</v>
      </c>
      <c r="N24">
        <f t="shared" si="3"/>
        <v>10.399999999999991</v>
      </c>
      <c r="O24">
        <f t="shared" si="4"/>
        <v>8.8999999999999915</v>
      </c>
    </row>
    <row r="25" spans="1:15" ht="15" thickBot="1" x14ac:dyDescent="0.35">
      <c r="A25" s="9">
        <v>23</v>
      </c>
      <c r="B25" s="10">
        <v>12.61</v>
      </c>
      <c r="C25" s="10">
        <v>12.55</v>
      </c>
      <c r="D25" s="10">
        <v>10.6</v>
      </c>
      <c r="E25" s="10"/>
      <c r="F25" s="10"/>
      <c r="G25" s="10">
        <v>216.8</v>
      </c>
      <c r="H25" s="10">
        <v>216.8</v>
      </c>
      <c r="I25" s="10">
        <v>216.3</v>
      </c>
      <c r="J25" s="10"/>
      <c r="K25">
        <f t="shared" si="0"/>
        <v>216.63333333333335</v>
      </c>
      <c r="L25">
        <f t="shared" si="1"/>
        <v>219.1</v>
      </c>
      <c r="M25">
        <f t="shared" si="2"/>
        <v>1.2333333333333201</v>
      </c>
      <c r="N25">
        <f t="shared" si="3"/>
        <v>10.26666666666668</v>
      </c>
      <c r="O25">
        <f t="shared" si="4"/>
        <v>8.7666666666666799</v>
      </c>
    </row>
    <row r="26" spans="1:15" ht="15" thickBot="1" x14ac:dyDescent="0.35">
      <c r="A26" s="9">
        <v>24</v>
      </c>
      <c r="B26" s="10">
        <v>9.89</v>
      </c>
      <c r="C26" s="10">
        <v>8.4700000000000006</v>
      </c>
      <c r="D26" s="10">
        <v>8.0399999999999991</v>
      </c>
      <c r="E26" s="10"/>
      <c r="F26" s="10"/>
      <c r="G26" s="10">
        <v>218</v>
      </c>
      <c r="H26" s="10">
        <v>216.4</v>
      </c>
      <c r="I26" s="10">
        <v>216.9</v>
      </c>
      <c r="J26" s="10"/>
      <c r="K26">
        <f t="shared" si="0"/>
        <v>217.1</v>
      </c>
      <c r="L26">
        <f t="shared" si="1"/>
        <v>219.1</v>
      </c>
      <c r="M26">
        <f t="shared" si="2"/>
        <v>1</v>
      </c>
      <c r="N26">
        <f t="shared" si="3"/>
        <v>10.5</v>
      </c>
      <c r="O26">
        <f t="shared" si="4"/>
        <v>9</v>
      </c>
    </row>
    <row r="27" spans="1:15" ht="15" thickBot="1" x14ac:dyDescent="0.35">
      <c r="A27" s="9">
        <v>25</v>
      </c>
      <c r="B27" s="10">
        <v>7.99</v>
      </c>
      <c r="C27" s="10">
        <v>9.01</v>
      </c>
      <c r="D27" s="10">
        <v>9.89</v>
      </c>
      <c r="E27" s="10"/>
      <c r="F27" s="10"/>
      <c r="G27" s="10">
        <v>216</v>
      </c>
      <c r="H27" s="10">
        <v>216.4</v>
      </c>
      <c r="I27" s="10">
        <v>216.7</v>
      </c>
      <c r="J27" s="10"/>
      <c r="K27">
        <f t="shared" si="0"/>
        <v>216.36666666666665</v>
      </c>
      <c r="L27">
        <f t="shared" si="1"/>
        <v>219.1</v>
      </c>
      <c r="M27">
        <f t="shared" si="2"/>
        <v>1.3666666666666742</v>
      </c>
      <c r="N27">
        <f t="shared" si="3"/>
        <v>10.133333333333326</v>
      </c>
      <c r="O27">
        <f t="shared" si="4"/>
        <v>8.6333333333333258</v>
      </c>
    </row>
    <row r="28" spans="1:15" ht="15" thickBot="1" x14ac:dyDescent="0.35">
      <c r="A28" s="9">
        <v>26</v>
      </c>
      <c r="B28" s="10">
        <v>8</v>
      </c>
      <c r="C28" s="10">
        <v>8.24</v>
      </c>
      <c r="D28" s="10">
        <v>9.16</v>
      </c>
      <c r="E28" s="10"/>
      <c r="F28" s="10"/>
      <c r="G28" s="10">
        <v>218.3</v>
      </c>
      <c r="H28" s="10">
        <v>218</v>
      </c>
      <c r="I28" s="10">
        <v>218.1</v>
      </c>
      <c r="J28" s="10"/>
      <c r="K28">
        <f t="shared" si="0"/>
        <v>218.13333333333333</v>
      </c>
      <c r="L28">
        <f t="shared" si="1"/>
        <v>219.1</v>
      </c>
      <c r="M28">
        <f t="shared" si="2"/>
        <v>0.48333333333333428</v>
      </c>
      <c r="N28">
        <f t="shared" si="3"/>
        <v>11.016666666666666</v>
      </c>
      <c r="O28">
        <f t="shared" si="4"/>
        <v>9.5166666666666657</v>
      </c>
    </row>
    <row r="29" spans="1:15" ht="15" thickBot="1" x14ac:dyDescent="0.35">
      <c r="A29" s="31">
        <v>27</v>
      </c>
      <c r="B29" s="10"/>
      <c r="C29" s="10"/>
      <c r="D29" s="10" t="s">
        <v>40</v>
      </c>
      <c r="E29" s="10"/>
      <c r="F29" s="10"/>
      <c r="G29" s="10"/>
      <c r="H29" s="10"/>
      <c r="I29" s="10"/>
      <c r="J29" s="10"/>
      <c r="M29">
        <f t="shared" si="2"/>
        <v>0</v>
      </c>
      <c r="N29">
        <f t="shared" si="3"/>
        <v>11.5</v>
      </c>
      <c r="O29">
        <f t="shared" si="4"/>
        <v>10</v>
      </c>
    </row>
    <row r="30" spans="1:15" ht="15" thickBot="1" x14ac:dyDescent="0.35">
      <c r="A30" s="9">
        <v>28</v>
      </c>
      <c r="B30" s="10"/>
      <c r="C30" s="10"/>
      <c r="D30" s="10"/>
      <c r="E30" s="10"/>
      <c r="F30" s="10"/>
      <c r="G30" s="10">
        <v>218.6</v>
      </c>
      <c r="H30" s="10">
        <v>218.9</v>
      </c>
      <c r="I30" s="10">
        <v>216</v>
      </c>
      <c r="J30" s="10"/>
      <c r="K30">
        <f t="shared" si="0"/>
        <v>217.83333333333334</v>
      </c>
      <c r="L30">
        <f t="shared" si="1"/>
        <v>219.1</v>
      </c>
      <c r="M30">
        <f t="shared" si="2"/>
        <v>0.63333333333332575</v>
      </c>
      <c r="N30">
        <f t="shared" si="3"/>
        <v>10.866666666666674</v>
      </c>
      <c r="O30">
        <f t="shared" si="4"/>
        <v>9.3666666666666742</v>
      </c>
    </row>
    <row r="33" spans="1:15" ht="18.600000000000001" thickBot="1" x14ac:dyDescent="0.35">
      <c r="A33" s="28" t="s">
        <v>42</v>
      </c>
    </row>
    <row r="34" spans="1:15" ht="42" thickBot="1" x14ac:dyDescent="0.35">
      <c r="A34" s="9" t="s">
        <v>0</v>
      </c>
      <c r="B34" s="9" t="s">
        <v>35</v>
      </c>
      <c r="C34" s="9" t="s">
        <v>36</v>
      </c>
      <c r="D34" s="9" t="s">
        <v>37</v>
      </c>
      <c r="E34" s="9" t="s">
        <v>38</v>
      </c>
      <c r="F34" s="9" t="s">
        <v>39</v>
      </c>
      <c r="G34" s="9" t="s">
        <v>22</v>
      </c>
      <c r="H34" s="9" t="s">
        <v>23</v>
      </c>
      <c r="I34" s="9" t="s">
        <v>24</v>
      </c>
      <c r="J34" s="9" t="s">
        <v>4</v>
      </c>
      <c r="K34" s="29" t="s">
        <v>45</v>
      </c>
      <c r="L34" s="29" t="s">
        <v>46</v>
      </c>
      <c r="M34" s="29" t="s">
        <v>49</v>
      </c>
      <c r="N34" t="s">
        <v>47</v>
      </c>
      <c r="O34" t="s">
        <v>48</v>
      </c>
    </row>
    <row r="35" spans="1:15" ht="15" thickBot="1" x14ac:dyDescent="0.35">
      <c r="A35" s="9">
        <v>1</v>
      </c>
      <c r="B35" s="10">
        <v>8</v>
      </c>
      <c r="C35" s="10">
        <v>9.8800000000000008</v>
      </c>
      <c r="D35" s="10">
        <v>10.23</v>
      </c>
      <c r="E35" s="10"/>
      <c r="F35" s="10"/>
      <c r="G35" s="10">
        <v>217.4</v>
      </c>
      <c r="H35" s="10"/>
      <c r="I35" s="10">
        <v>216.4</v>
      </c>
      <c r="J35" s="10"/>
      <c r="K35">
        <f t="shared" si="0"/>
        <v>216.9</v>
      </c>
      <c r="L35">
        <f t="shared" si="1"/>
        <v>219.1</v>
      </c>
      <c r="M35">
        <f t="shared" ref="M35:M40" si="5">(L35-K35)/2</f>
        <v>1.0999999999999943</v>
      </c>
      <c r="N35">
        <f t="shared" ref="N35:N40" si="6">11.5-M35</f>
        <v>10.400000000000006</v>
      </c>
      <c r="O35">
        <f t="shared" ref="O35:O40" si="7">N35-1.5</f>
        <v>8.9000000000000057</v>
      </c>
    </row>
    <row r="36" spans="1:15" ht="15" thickBot="1" x14ac:dyDescent="0.35">
      <c r="A36" s="9">
        <v>2</v>
      </c>
      <c r="B36" s="10">
        <v>11.91</v>
      </c>
      <c r="C36" s="10">
        <v>12.03</v>
      </c>
      <c r="D36" s="10">
        <v>11.9</v>
      </c>
      <c r="E36" s="10">
        <v>11.95</v>
      </c>
      <c r="F36" s="10"/>
      <c r="G36" s="10">
        <v>217.5</v>
      </c>
      <c r="H36" s="10"/>
      <c r="I36" s="10">
        <v>217.3</v>
      </c>
      <c r="J36" s="10"/>
      <c r="K36">
        <f t="shared" si="0"/>
        <v>217.4</v>
      </c>
      <c r="L36">
        <f t="shared" si="1"/>
        <v>219.1</v>
      </c>
      <c r="M36">
        <f t="shared" si="5"/>
        <v>0.84999999999999432</v>
      </c>
      <c r="N36">
        <f t="shared" si="6"/>
        <v>10.650000000000006</v>
      </c>
      <c r="O36">
        <f t="shared" si="7"/>
        <v>9.1500000000000057</v>
      </c>
    </row>
    <row r="37" spans="1:15" ht="15" thickBot="1" x14ac:dyDescent="0.35">
      <c r="A37" s="9">
        <v>3</v>
      </c>
      <c r="B37" s="10">
        <v>12.26</v>
      </c>
      <c r="C37" s="10"/>
      <c r="D37" s="10">
        <v>8.52</v>
      </c>
      <c r="E37" s="10">
        <v>8.2200000000000006</v>
      </c>
      <c r="F37" s="10"/>
      <c r="G37" s="10">
        <v>216.9</v>
      </c>
      <c r="H37" s="10"/>
      <c r="I37" s="10">
        <v>217.5</v>
      </c>
      <c r="J37" s="10"/>
      <c r="K37">
        <f t="shared" si="0"/>
        <v>217.2</v>
      </c>
      <c r="L37">
        <f t="shared" si="1"/>
        <v>219.1</v>
      </c>
      <c r="M37">
        <f t="shared" si="5"/>
        <v>0.95000000000000284</v>
      </c>
      <c r="N37">
        <f t="shared" si="6"/>
        <v>10.549999999999997</v>
      </c>
      <c r="O37">
        <f t="shared" si="7"/>
        <v>9.0499999999999972</v>
      </c>
    </row>
    <row r="38" spans="1:15" ht="15" thickBot="1" x14ac:dyDescent="0.35">
      <c r="A38" s="9">
        <v>4</v>
      </c>
      <c r="B38" s="10">
        <v>12.32</v>
      </c>
      <c r="C38" s="10">
        <v>9.9499999999999993</v>
      </c>
      <c r="D38" s="10">
        <v>9.5</v>
      </c>
      <c r="E38" s="10">
        <v>11.61</v>
      </c>
      <c r="F38" s="10"/>
      <c r="G38" s="10">
        <v>215.9</v>
      </c>
      <c r="H38" s="10"/>
      <c r="I38" s="10">
        <v>217.7</v>
      </c>
      <c r="J38" s="10"/>
      <c r="K38">
        <f t="shared" si="0"/>
        <v>216.8</v>
      </c>
      <c r="L38">
        <f t="shared" si="1"/>
        <v>219.1</v>
      </c>
      <c r="M38">
        <f t="shared" si="5"/>
        <v>1.1499999999999915</v>
      </c>
      <c r="N38">
        <f t="shared" si="6"/>
        <v>10.350000000000009</v>
      </c>
      <c r="O38">
        <f t="shared" si="7"/>
        <v>8.8500000000000085</v>
      </c>
    </row>
    <row r="39" spans="1:15" ht="15" thickBot="1" x14ac:dyDescent="0.35">
      <c r="A39" s="9">
        <v>5</v>
      </c>
      <c r="B39" s="10">
        <v>8.6199999999999992</v>
      </c>
      <c r="C39" s="10">
        <v>8.9499999999999993</v>
      </c>
      <c r="D39" s="10">
        <v>8.8699999999999992</v>
      </c>
      <c r="E39" s="10"/>
      <c r="F39" s="10"/>
      <c r="G39" s="10">
        <v>218.3</v>
      </c>
      <c r="H39" s="10"/>
      <c r="I39" s="10">
        <v>219.7</v>
      </c>
      <c r="J39" s="10"/>
      <c r="K39">
        <f t="shared" si="0"/>
        <v>219</v>
      </c>
      <c r="L39">
        <f t="shared" si="1"/>
        <v>219.1</v>
      </c>
      <c r="M39">
        <f t="shared" si="5"/>
        <v>4.9999999999997158E-2</v>
      </c>
      <c r="N39">
        <f t="shared" si="6"/>
        <v>11.450000000000003</v>
      </c>
      <c r="O39">
        <f t="shared" si="7"/>
        <v>9.9500000000000028</v>
      </c>
    </row>
    <row r="40" spans="1:15" ht="15" thickBot="1" x14ac:dyDescent="0.35">
      <c r="A40" s="9">
        <v>6</v>
      </c>
      <c r="B40" s="10">
        <v>11.71</v>
      </c>
      <c r="C40" s="10">
        <v>11.95</v>
      </c>
      <c r="D40" s="10">
        <v>11.97</v>
      </c>
      <c r="E40" s="10">
        <v>12.67</v>
      </c>
      <c r="F40" s="10">
        <v>12.6</v>
      </c>
      <c r="G40" s="10">
        <v>218.6</v>
      </c>
      <c r="H40" s="10">
        <v>218.2</v>
      </c>
      <c r="I40" s="10">
        <v>218.4</v>
      </c>
      <c r="J40" s="10"/>
      <c r="K40">
        <f t="shared" si="0"/>
        <v>218.39999999999998</v>
      </c>
      <c r="L40">
        <f t="shared" si="1"/>
        <v>219.1</v>
      </c>
      <c r="M40">
        <f t="shared" si="5"/>
        <v>0.35000000000000853</v>
      </c>
      <c r="N40">
        <f t="shared" si="6"/>
        <v>11.149999999999991</v>
      </c>
      <c r="O40">
        <f t="shared" si="7"/>
        <v>9.6499999999999915</v>
      </c>
    </row>
    <row r="41" spans="1:15" ht="42" thickBot="1" x14ac:dyDescent="0.35">
      <c r="A41" s="31">
        <v>7</v>
      </c>
      <c r="B41" s="10" t="s">
        <v>41</v>
      </c>
      <c r="C41" s="10"/>
      <c r="D41" s="10"/>
      <c r="E41" s="10"/>
      <c r="F41" s="10"/>
      <c r="G41" s="10"/>
      <c r="H41" s="10"/>
      <c r="I41" s="10"/>
      <c r="J41" s="10"/>
      <c r="N41">
        <v>0</v>
      </c>
      <c r="O41">
        <v>0</v>
      </c>
    </row>
    <row r="42" spans="1:15" ht="15" thickBot="1" x14ac:dyDescent="0.35">
      <c r="A42" s="9">
        <v>8</v>
      </c>
      <c r="B42" s="10">
        <v>8.5299999999999994</v>
      </c>
      <c r="C42" s="10">
        <v>8.4700000000000006</v>
      </c>
      <c r="D42" s="10">
        <v>8.4700000000000006</v>
      </c>
      <c r="E42" s="10">
        <v>8.24</v>
      </c>
      <c r="F42" s="10"/>
      <c r="G42" s="10">
        <v>217.6</v>
      </c>
      <c r="H42" s="10">
        <v>218.4</v>
      </c>
      <c r="I42" s="10">
        <v>218.6</v>
      </c>
      <c r="J42" s="10"/>
      <c r="K42">
        <f t="shared" si="0"/>
        <v>218.20000000000002</v>
      </c>
      <c r="L42">
        <f t="shared" si="1"/>
        <v>219.1</v>
      </c>
      <c r="M42">
        <f t="shared" ref="M42:M61" si="8">(L42-K42)/2</f>
        <v>0.44999999999998863</v>
      </c>
      <c r="N42">
        <f t="shared" ref="N42:N61" si="9">11.5-M42</f>
        <v>11.050000000000011</v>
      </c>
      <c r="O42">
        <f t="shared" ref="O42:O61" si="10">N42-1.5</f>
        <v>9.5500000000000114</v>
      </c>
    </row>
    <row r="43" spans="1:15" ht="15" thickBot="1" x14ac:dyDescent="0.35">
      <c r="A43" s="9">
        <v>9</v>
      </c>
      <c r="B43" s="10">
        <v>7.99</v>
      </c>
      <c r="C43" s="10">
        <v>8.0500000000000007</v>
      </c>
      <c r="D43" s="10">
        <v>8.1199999999999992</v>
      </c>
      <c r="E43" s="10">
        <v>8.27</v>
      </c>
      <c r="F43" s="10"/>
      <c r="G43" s="10">
        <v>216.3</v>
      </c>
      <c r="H43" s="10">
        <v>216.2</v>
      </c>
      <c r="I43" s="10">
        <v>216.35</v>
      </c>
      <c r="J43" s="10"/>
      <c r="K43">
        <f t="shared" si="0"/>
        <v>216.28333333333333</v>
      </c>
      <c r="L43">
        <f t="shared" si="1"/>
        <v>219.1</v>
      </c>
      <c r="M43">
        <f t="shared" si="8"/>
        <v>1.4083333333333314</v>
      </c>
      <c r="N43">
        <f t="shared" si="9"/>
        <v>10.091666666666669</v>
      </c>
      <c r="O43">
        <f t="shared" si="10"/>
        <v>8.5916666666666686</v>
      </c>
    </row>
    <row r="44" spans="1:15" ht="15" thickBot="1" x14ac:dyDescent="0.35">
      <c r="A44" s="9">
        <v>10</v>
      </c>
      <c r="B44" s="10">
        <v>7.44</v>
      </c>
      <c r="C44" s="10">
        <v>8.24</v>
      </c>
      <c r="D44" s="10">
        <v>8.23</v>
      </c>
      <c r="E44" s="10">
        <v>8.0500000000000007</v>
      </c>
      <c r="F44" s="10"/>
      <c r="G44" s="10">
        <v>216.4</v>
      </c>
      <c r="H44" s="10">
        <v>216.1</v>
      </c>
      <c r="I44" s="10">
        <v>217.35</v>
      </c>
      <c r="J44" s="10"/>
      <c r="K44">
        <f t="shared" si="0"/>
        <v>216.61666666666667</v>
      </c>
      <c r="L44">
        <f t="shared" si="1"/>
        <v>219.1</v>
      </c>
      <c r="M44">
        <f t="shared" si="8"/>
        <v>1.24166666666666</v>
      </c>
      <c r="N44">
        <f t="shared" si="9"/>
        <v>10.25833333333334</v>
      </c>
      <c r="O44">
        <f t="shared" si="10"/>
        <v>8.75833333333334</v>
      </c>
    </row>
    <row r="45" spans="1:15" ht="15" thickBot="1" x14ac:dyDescent="0.35">
      <c r="A45" s="9">
        <v>11</v>
      </c>
      <c r="B45" s="10">
        <v>12.04</v>
      </c>
      <c r="C45" s="10">
        <v>8.24</v>
      </c>
      <c r="D45" s="10">
        <v>8.24</v>
      </c>
      <c r="E45" s="10">
        <v>7.96</v>
      </c>
      <c r="F45" s="10">
        <v>8.77</v>
      </c>
      <c r="G45" s="10">
        <v>217.8</v>
      </c>
      <c r="H45" s="10">
        <v>218.2</v>
      </c>
      <c r="I45" s="10">
        <v>217.45</v>
      </c>
      <c r="J45" s="10"/>
      <c r="K45">
        <f t="shared" si="0"/>
        <v>217.81666666666669</v>
      </c>
      <c r="L45">
        <f t="shared" si="1"/>
        <v>219.1</v>
      </c>
      <c r="M45">
        <f t="shared" si="8"/>
        <v>0.64166666666665151</v>
      </c>
      <c r="N45">
        <f t="shared" si="9"/>
        <v>10.858333333333348</v>
      </c>
      <c r="O45">
        <f t="shared" si="10"/>
        <v>9.3583333333333485</v>
      </c>
    </row>
    <row r="46" spans="1:15" ht="15" thickBot="1" x14ac:dyDescent="0.35">
      <c r="A46" s="9">
        <v>12</v>
      </c>
      <c r="B46" s="10">
        <v>8.2799999999999994</v>
      </c>
      <c r="C46" s="10">
        <v>8.33</v>
      </c>
      <c r="D46" s="10">
        <v>8.2100000000000009</v>
      </c>
      <c r="E46" s="10"/>
      <c r="F46" s="10"/>
      <c r="G46" s="10">
        <v>216.1</v>
      </c>
      <c r="H46" s="10">
        <v>215.6</v>
      </c>
      <c r="I46" s="10">
        <v>216.5</v>
      </c>
      <c r="J46" s="10">
        <v>217.2</v>
      </c>
      <c r="K46">
        <f t="shared" si="0"/>
        <v>216.35000000000002</v>
      </c>
      <c r="L46">
        <f t="shared" si="1"/>
        <v>219.1</v>
      </c>
      <c r="M46">
        <f t="shared" si="8"/>
        <v>1.3749999999999858</v>
      </c>
      <c r="N46">
        <f t="shared" si="9"/>
        <v>10.125000000000014</v>
      </c>
      <c r="O46">
        <f t="shared" si="10"/>
        <v>8.6250000000000142</v>
      </c>
    </row>
    <row r="47" spans="1:15" ht="15" thickBot="1" x14ac:dyDescent="0.35">
      <c r="A47" s="9">
        <v>13</v>
      </c>
      <c r="B47" s="10">
        <v>9.07</v>
      </c>
      <c r="C47" s="10">
        <v>8.89</v>
      </c>
      <c r="D47" s="10">
        <v>8.39</v>
      </c>
      <c r="E47" s="10">
        <v>8.58</v>
      </c>
      <c r="F47" s="10"/>
      <c r="G47" s="10">
        <v>217.4</v>
      </c>
      <c r="H47" s="10">
        <v>216.8</v>
      </c>
      <c r="I47" s="10">
        <v>216.9</v>
      </c>
      <c r="J47" s="10"/>
      <c r="K47">
        <f t="shared" si="0"/>
        <v>217.03333333333333</v>
      </c>
      <c r="L47">
        <f t="shared" si="1"/>
        <v>219.1</v>
      </c>
      <c r="M47">
        <f t="shared" si="8"/>
        <v>1.0333333333333314</v>
      </c>
      <c r="N47">
        <f t="shared" si="9"/>
        <v>10.466666666666669</v>
      </c>
      <c r="O47">
        <f t="shared" si="10"/>
        <v>8.9666666666666686</v>
      </c>
    </row>
    <row r="48" spans="1:15" ht="15" thickBot="1" x14ac:dyDescent="0.35">
      <c r="A48" s="9">
        <v>14</v>
      </c>
      <c r="B48" s="10">
        <v>8.23</v>
      </c>
      <c r="C48" s="10">
        <v>8.23</v>
      </c>
      <c r="D48" s="10">
        <v>8.24</v>
      </c>
      <c r="E48" s="10"/>
      <c r="F48" s="10"/>
      <c r="G48" s="10">
        <v>216</v>
      </c>
      <c r="H48" s="10">
        <v>215.3</v>
      </c>
      <c r="I48" s="10">
        <v>215.9</v>
      </c>
      <c r="J48" s="10">
        <v>216.95</v>
      </c>
      <c r="K48">
        <f t="shared" si="0"/>
        <v>216.03750000000002</v>
      </c>
      <c r="L48">
        <f t="shared" si="1"/>
        <v>219.1</v>
      </c>
      <c r="M48">
        <f t="shared" si="8"/>
        <v>1.5312499999999858</v>
      </c>
      <c r="N48">
        <f t="shared" si="9"/>
        <v>9.9687500000000142</v>
      </c>
      <c r="O48">
        <f t="shared" si="10"/>
        <v>8.4687500000000142</v>
      </c>
    </row>
    <row r="49" spans="1:15" ht="15" thickBot="1" x14ac:dyDescent="0.35">
      <c r="A49" s="9">
        <v>15</v>
      </c>
      <c r="B49" s="10">
        <v>8.8800000000000008</v>
      </c>
      <c r="C49" s="10">
        <v>8.82</v>
      </c>
      <c r="D49" s="10">
        <v>8.83</v>
      </c>
      <c r="E49" s="10">
        <v>8.58</v>
      </c>
      <c r="F49" s="10">
        <v>8.65</v>
      </c>
      <c r="G49" s="10">
        <v>218.3</v>
      </c>
      <c r="H49" s="10">
        <v>216.4</v>
      </c>
      <c r="I49" s="10">
        <v>216.1</v>
      </c>
      <c r="J49" s="10"/>
      <c r="K49">
        <f t="shared" si="0"/>
        <v>216.93333333333337</v>
      </c>
      <c r="L49">
        <f t="shared" si="1"/>
        <v>219.1</v>
      </c>
      <c r="M49">
        <f t="shared" si="8"/>
        <v>1.0833333333333144</v>
      </c>
      <c r="N49">
        <f t="shared" si="9"/>
        <v>10.416666666666686</v>
      </c>
      <c r="O49">
        <f t="shared" si="10"/>
        <v>8.9166666666666856</v>
      </c>
    </row>
    <row r="50" spans="1:15" ht="15" thickBot="1" x14ac:dyDescent="0.35">
      <c r="A50" s="9">
        <v>16</v>
      </c>
      <c r="B50" s="10">
        <v>8.52</v>
      </c>
      <c r="C50" s="10">
        <v>8.92</v>
      </c>
      <c r="D50" s="10">
        <v>8.94</v>
      </c>
      <c r="E50" s="10"/>
      <c r="F50" s="10"/>
      <c r="G50" s="10">
        <v>216.4</v>
      </c>
      <c r="H50" s="10"/>
      <c r="I50" s="10">
        <v>217.2</v>
      </c>
      <c r="J50" s="10"/>
      <c r="K50">
        <f t="shared" si="0"/>
        <v>216.8</v>
      </c>
      <c r="L50">
        <f t="shared" si="1"/>
        <v>219.1</v>
      </c>
      <c r="M50">
        <f t="shared" si="8"/>
        <v>1.1499999999999915</v>
      </c>
      <c r="N50">
        <f t="shared" si="9"/>
        <v>10.350000000000009</v>
      </c>
      <c r="O50">
        <f t="shared" si="10"/>
        <v>8.8500000000000085</v>
      </c>
    </row>
    <row r="51" spans="1:15" ht="15" thickBot="1" x14ac:dyDescent="0.35">
      <c r="A51" s="9">
        <v>17</v>
      </c>
      <c r="B51" s="10">
        <v>8.11</v>
      </c>
      <c r="C51" s="10">
        <v>8.41</v>
      </c>
      <c r="D51" s="10">
        <v>8.42</v>
      </c>
      <c r="E51" s="10"/>
      <c r="F51" s="10"/>
      <c r="G51" s="10">
        <v>217.6</v>
      </c>
      <c r="H51" s="10">
        <v>218</v>
      </c>
      <c r="I51" s="10">
        <v>218.1</v>
      </c>
      <c r="J51" s="10"/>
      <c r="K51">
        <f t="shared" si="0"/>
        <v>217.9</v>
      </c>
      <c r="L51">
        <f t="shared" si="1"/>
        <v>219.1</v>
      </c>
      <c r="M51">
        <f t="shared" si="8"/>
        <v>0.59999999999999432</v>
      </c>
      <c r="N51">
        <f t="shared" si="9"/>
        <v>10.900000000000006</v>
      </c>
      <c r="O51">
        <f t="shared" si="10"/>
        <v>9.4000000000000057</v>
      </c>
    </row>
    <row r="52" spans="1:15" ht="15" thickBot="1" x14ac:dyDescent="0.35">
      <c r="A52" s="9">
        <v>18</v>
      </c>
      <c r="B52" s="10">
        <v>8.64</v>
      </c>
      <c r="C52" s="10">
        <v>8.4700000000000006</v>
      </c>
      <c r="D52" s="10">
        <v>8.24</v>
      </c>
      <c r="E52" s="10">
        <v>8.5299999999999994</v>
      </c>
      <c r="F52" s="10"/>
      <c r="G52" s="10">
        <v>217.7</v>
      </c>
      <c r="H52" s="10">
        <v>217.3</v>
      </c>
      <c r="I52" s="10">
        <v>217.45</v>
      </c>
      <c r="J52" s="10"/>
      <c r="K52">
        <f t="shared" si="0"/>
        <v>217.48333333333335</v>
      </c>
      <c r="L52">
        <f t="shared" si="1"/>
        <v>219.1</v>
      </c>
      <c r="M52">
        <f t="shared" si="8"/>
        <v>0.80833333333332291</v>
      </c>
      <c r="N52">
        <f t="shared" si="9"/>
        <v>10.691666666666677</v>
      </c>
      <c r="O52">
        <f t="shared" si="10"/>
        <v>9.1916666666666771</v>
      </c>
    </row>
    <row r="53" spans="1:15" ht="15" thickBot="1" x14ac:dyDescent="0.35">
      <c r="A53" s="9">
        <v>19</v>
      </c>
      <c r="B53" s="10">
        <v>8.34</v>
      </c>
      <c r="C53" s="10">
        <v>8.42</v>
      </c>
      <c r="D53" s="10">
        <v>8.86</v>
      </c>
      <c r="E53" s="10"/>
      <c r="F53" s="10"/>
      <c r="G53" s="10">
        <v>216.7</v>
      </c>
      <c r="H53" s="10">
        <v>216.5</v>
      </c>
      <c r="I53" s="10">
        <v>216</v>
      </c>
      <c r="J53" s="10">
        <v>216.95</v>
      </c>
      <c r="K53">
        <f t="shared" si="0"/>
        <v>216.53750000000002</v>
      </c>
      <c r="L53">
        <f t="shared" si="1"/>
        <v>219.1</v>
      </c>
      <c r="M53">
        <f t="shared" si="8"/>
        <v>1.2812499999999858</v>
      </c>
      <c r="N53">
        <f t="shared" si="9"/>
        <v>10.218750000000014</v>
      </c>
      <c r="O53">
        <f t="shared" si="10"/>
        <v>8.7187500000000142</v>
      </c>
    </row>
    <row r="54" spans="1:15" ht="15" thickBot="1" x14ac:dyDescent="0.35">
      <c r="A54" s="9">
        <v>20</v>
      </c>
      <c r="B54" s="10">
        <v>11.6</v>
      </c>
      <c r="C54" s="10">
        <v>11.32</v>
      </c>
      <c r="D54" s="10">
        <v>11.08</v>
      </c>
      <c r="E54" s="10"/>
      <c r="F54" s="10"/>
      <c r="G54" s="10">
        <v>215.3</v>
      </c>
      <c r="H54" s="10">
        <v>215.8</v>
      </c>
      <c r="I54" s="10">
        <v>216.95</v>
      </c>
      <c r="J54" s="10"/>
      <c r="K54">
        <f t="shared" si="0"/>
        <v>216.01666666666665</v>
      </c>
      <c r="L54">
        <f t="shared" si="1"/>
        <v>219.1</v>
      </c>
      <c r="M54">
        <f t="shared" si="8"/>
        <v>1.5416666666666714</v>
      </c>
      <c r="N54">
        <f t="shared" si="9"/>
        <v>9.9583333333333286</v>
      </c>
      <c r="O54">
        <f t="shared" si="10"/>
        <v>8.4583333333333286</v>
      </c>
    </row>
    <row r="55" spans="1:15" ht="15" thickBot="1" x14ac:dyDescent="0.35">
      <c r="A55" s="9">
        <v>21</v>
      </c>
      <c r="B55" s="10">
        <v>8.11</v>
      </c>
      <c r="C55" s="10">
        <v>8.4600000000000009</v>
      </c>
      <c r="D55" s="10">
        <v>8.64</v>
      </c>
      <c r="E55" s="10">
        <v>8.4700000000000006</v>
      </c>
      <c r="F55" s="10"/>
      <c r="G55" s="10">
        <v>214.1</v>
      </c>
      <c r="H55" s="10">
        <v>217</v>
      </c>
      <c r="I55" s="10">
        <v>217.8</v>
      </c>
      <c r="J55" s="10"/>
      <c r="K55">
        <f t="shared" si="0"/>
        <v>216.30000000000004</v>
      </c>
      <c r="L55">
        <f t="shared" si="1"/>
        <v>219.1</v>
      </c>
      <c r="M55">
        <f t="shared" si="8"/>
        <v>1.3999999999999773</v>
      </c>
      <c r="N55">
        <f t="shared" si="9"/>
        <v>10.100000000000023</v>
      </c>
      <c r="O55">
        <f t="shared" si="10"/>
        <v>8.6000000000000227</v>
      </c>
    </row>
    <row r="56" spans="1:15" ht="15" thickBot="1" x14ac:dyDescent="0.35">
      <c r="A56" s="9">
        <v>22</v>
      </c>
      <c r="B56" s="10">
        <v>12.61</v>
      </c>
      <c r="C56" s="10">
        <v>8.16</v>
      </c>
      <c r="D56" s="10">
        <v>8.83</v>
      </c>
      <c r="E56" s="10">
        <v>8.41</v>
      </c>
      <c r="F56" s="10"/>
      <c r="G56" s="10">
        <v>217.8</v>
      </c>
      <c r="H56" s="10">
        <v>219.1</v>
      </c>
      <c r="I56" s="10">
        <v>218.2</v>
      </c>
      <c r="J56" s="10"/>
      <c r="K56">
        <f t="shared" si="0"/>
        <v>218.36666666666665</v>
      </c>
      <c r="L56">
        <f t="shared" si="1"/>
        <v>219.1</v>
      </c>
      <c r="M56">
        <f t="shared" si="8"/>
        <v>0.36666666666667425</v>
      </c>
      <c r="N56">
        <f t="shared" si="9"/>
        <v>11.133333333333326</v>
      </c>
      <c r="O56">
        <f t="shared" si="10"/>
        <v>9.6333333333333258</v>
      </c>
    </row>
    <row r="57" spans="1:15" ht="15" thickBot="1" x14ac:dyDescent="0.35">
      <c r="A57" s="9">
        <v>23</v>
      </c>
      <c r="B57" s="10">
        <v>8.06</v>
      </c>
      <c r="C57" s="10">
        <v>12.35</v>
      </c>
      <c r="D57" s="10">
        <v>8.1</v>
      </c>
      <c r="E57" s="10">
        <v>7.99</v>
      </c>
      <c r="F57" s="10"/>
      <c r="G57" s="10">
        <v>215.5</v>
      </c>
      <c r="H57" s="10">
        <v>214.9</v>
      </c>
      <c r="I57" s="10">
        <v>214.5</v>
      </c>
      <c r="J57" s="10">
        <v>216.25</v>
      </c>
      <c r="K57">
        <f t="shared" si="0"/>
        <v>215.28749999999999</v>
      </c>
      <c r="L57">
        <f t="shared" si="1"/>
        <v>219.1</v>
      </c>
      <c r="M57">
        <f t="shared" si="8"/>
        <v>1.90625</v>
      </c>
      <c r="N57">
        <f t="shared" si="9"/>
        <v>9.59375</v>
      </c>
      <c r="O57">
        <f t="shared" si="10"/>
        <v>8.09375</v>
      </c>
    </row>
    <row r="58" spans="1:15" ht="15" thickBot="1" x14ac:dyDescent="0.35">
      <c r="A58" s="9">
        <v>24</v>
      </c>
      <c r="B58" s="10">
        <v>9.0500000000000007</v>
      </c>
      <c r="C58" s="10">
        <v>9</v>
      </c>
      <c r="D58" s="10">
        <v>9.11</v>
      </c>
      <c r="E58" s="10">
        <v>8.0500000000000007</v>
      </c>
      <c r="F58" s="10"/>
      <c r="G58" s="10">
        <v>168.2</v>
      </c>
      <c r="H58" s="10">
        <v>168.5</v>
      </c>
      <c r="I58" s="10">
        <v>168.5</v>
      </c>
      <c r="J58" s="10"/>
      <c r="K58" s="30">
        <f t="shared" si="0"/>
        <v>168.4</v>
      </c>
      <c r="L58">
        <v>169.1</v>
      </c>
      <c r="M58">
        <f t="shared" si="8"/>
        <v>0.34999999999999432</v>
      </c>
      <c r="N58">
        <f>10.5-M58</f>
        <v>10.150000000000006</v>
      </c>
      <c r="O58">
        <f t="shared" si="10"/>
        <v>8.6500000000000057</v>
      </c>
    </row>
    <row r="59" spans="1:15" ht="15" thickBot="1" x14ac:dyDescent="0.35">
      <c r="A59" s="9">
        <v>25</v>
      </c>
      <c r="B59" s="10">
        <v>8.16</v>
      </c>
      <c r="C59" s="10">
        <v>8.3000000000000007</v>
      </c>
      <c r="D59" s="10">
        <v>8.7799999999999994</v>
      </c>
      <c r="E59" s="10">
        <v>8.64</v>
      </c>
      <c r="F59" s="10"/>
      <c r="G59" s="10">
        <v>217.6</v>
      </c>
      <c r="H59" s="10">
        <v>216.8</v>
      </c>
      <c r="I59" s="10">
        <v>217.7</v>
      </c>
      <c r="J59" s="10"/>
      <c r="K59">
        <f t="shared" si="0"/>
        <v>217.36666666666665</v>
      </c>
      <c r="L59">
        <f t="shared" si="1"/>
        <v>219.1</v>
      </c>
      <c r="M59">
        <f t="shared" si="8"/>
        <v>0.86666666666667425</v>
      </c>
      <c r="N59">
        <f t="shared" si="9"/>
        <v>10.633333333333326</v>
      </c>
      <c r="O59">
        <f t="shared" si="10"/>
        <v>9.1333333333333258</v>
      </c>
    </row>
    <row r="60" spans="1:15" ht="15" thickBot="1" x14ac:dyDescent="0.35">
      <c r="A60" s="9">
        <v>26</v>
      </c>
      <c r="B60" s="10">
        <v>12.62</v>
      </c>
      <c r="C60" s="10">
        <v>8.1199999999999992</v>
      </c>
      <c r="D60" s="10">
        <v>7.96</v>
      </c>
      <c r="E60" s="10">
        <v>8.33</v>
      </c>
      <c r="F60" s="10"/>
      <c r="G60" s="10">
        <v>215.6</v>
      </c>
      <c r="H60" s="10">
        <v>215.6</v>
      </c>
      <c r="I60" s="10">
        <v>217.2</v>
      </c>
      <c r="J60" s="10"/>
      <c r="K60">
        <f t="shared" si="0"/>
        <v>216.13333333333333</v>
      </c>
      <c r="L60">
        <f t="shared" si="1"/>
        <v>219.1</v>
      </c>
      <c r="M60">
        <f t="shared" si="8"/>
        <v>1.4833333333333343</v>
      </c>
      <c r="N60">
        <f t="shared" si="9"/>
        <v>10.016666666666666</v>
      </c>
      <c r="O60">
        <f t="shared" si="10"/>
        <v>8.5166666666666657</v>
      </c>
    </row>
    <row r="61" spans="1:15" ht="15" thickBot="1" x14ac:dyDescent="0.35">
      <c r="A61" s="9">
        <v>27</v>
      </c>
      <c r="B61" s="10">
        <v>8.81</v>
      </c>
      <c r="C61" s="10">
        <v>8.76</v>
      </c>
      <c r="D61" s="10">
        <v>8.52</v>
      </c>
      <c r="E61" s="10">
        <v>8.4</v>
      </c>
      <c r="F61" s="10"/>
      <c r="G61" s="10">
        <v>216.7</v>
      </c>
      <c r="H61" s="10">
        <v>216.9</v>
      </c>
      <c r="I61" s="10">
        <v>216.9</v>
      </c>
      <c r="J61" s="10">
        <v>217.65</v>
      </c>
      <c r="K61">
        <f t="shared" si="0"/>
        <v>217.03749999999999</v>
      </c>
      <c r="L61">
        <f t="shared" si="1"/>
        <v>219.1</v>
      </c>
      <c r="M61">
        <f t="shared" si="8"/>
        <v>1.03125</v>
      </c>
      <c r="N61">
        <f t="shared" si="9"/>
        <v>10.46875</v>
      </c>
      <c r="O61">
        <f t="shared" si="10"/>
        <v>8.96875</v>
      </c>
    </row>
    <row r="63" spans="1:15" ht="18.600000000000001" thickBot="1" x14ac:dyDescent="0.35">
      <c r="A63" s="28" t="s">
        <v>44</v>
      </c>
    </row>
    <row r="64" spans="1:15" ht="28.2" thickBot="1" x14ac:dyDescent="0.35">
      <c r="A64" s="9" t="s">
        <v>0</v>
      </c>
      <c r="B64" s="9" t="s">
        <v>1</v>
      </c>
      <c r="C64" s="9" t="s">
        <v>2</v>
      </c>
      <c r="D64" s="9" t="s">
        <v>3</v>
      </c>
      <c r="E64" s="9" t="s">
        <v>4</v>
      </c>
      <c r="F64" s="9" t="s">
        <v>5</v>
      </c>
      <c r="G64" s="9" t="s">
        <v>6</v>
      </c>
      <c r="H64" s="9" t="s">
        <v>23</v>
      </c>
      <c r="I64" s="9" t="s">
        <v>24</v>
      </c>
      <c r="J64" s="9" t="s">
        <v>4</v>
      </c>
      <c r="K64" s="29" t="s">
        <v>45</v>
      </c>
      <c r="L64" s="29" t="s">
        <v>46</v>
      </c>
      <c r="M64" s="29" t="s">
        <v>49</v>
      </c>
      <c r="N64" t="s">
        <v>47</v>
      </c>
      <c r="O64" t="s">
        <v>48</v>
      </c>
    </row>
    <row r="65" spans="1:15" ht="15" thickBot="1" x14ac:dyDescent="0.35">
      <c r="A65" s="9">
        <v>1</v>
      </c>
      <c r="B65" s="10">
        <v>8.2100000000000009</v>
      </c>
      <c r="C65" s="10">
        <v>12.36</v>
      </c>
      <c r="D65" s="10">
        <v>12.14</v>
      </c>
      <c r="E65" s="10"/>
      <c r="F65" s="10"/>
      <c r="G65" s="10">
        <v>216.5</v>
      </c>
      <c r="H65" s="10"/>
      <c r="I65" s="10">
        <v>217.8</v>
      </c>
      <c r="J65" s="10"/>
      <c r="K65">
        <f t="shared" si="0"/>
        <v>217.15</v>
      </c>
      <c r="L65">
        <f t="shared" si="1"/>
        <v>219.1</v>
      </c>
      <c r="M65">
        <f t="shared" ref="M65:M90" si="11">(L65-K65)/2</f>
        <v>0.97499999999999432</v>
      </c>
      <c r="N65">
        <f t="shared" ref="N65:N90" si="12">11.5-M65</f>
        <v>10.525000000000006</v>
      </c>
      <c r="O65">
        <f t="shared" ref="O65:O90" si="13">N65-1.5</f>
        <v>9.0250000000000057</v>
      </c>
    </row>
    <row r="66" spans="1:15" ht="15" thickBot="1" x14ac:dyDescent="0.35">
      <c r="A66" s="9">
        <v>2</v>
      </c>
      <c r="B66" s="10">
        <v>8.1199999999999992</v>
      </c>
      <c r="C66" s="10">
        <v>10.72</v>
      </c>
      <c r="D66" s="10">
        <v>11.19</v>
      </c>
      <c r="E66" s="10"/>
      <c r="F66" s="10"/>
      <c r="G66" s="10">
        <v>216.2</v>
      </c>
      <c r="H66" s="10">
        <v>216.1</v>
      </c>
      <c r="I66" s="10">
        <v>217.3</v>
      </c>
      <c r="J66" s="10"/>
      <c r="K66">
        <f t="shared" si="0"/>
        <v>216.5333333333333</v>
      </c>
      <c r="L66">
        <f t="shared" si="1"/>
        <v>219.1</v>
      </c>
      <c r="M66">
        <f t="shared" si="11"/>
        <v>1.2833333333333456</v>
      </c>
      <c r="N66">
        <f t="shared" si="12"/>
        <v>10.216666666666654</v>
      </c>
      <c r="O66">
        <f t="shared" si="13"/>
        <v>8.7166666666666544</v>
      </c>
    </row>
    <row r="67" spans="1:15" ht="15" thickBot="1" x14ac:dyDescent="0.35">
      <c r="A67" s="9">
        <v>3</v>
      </c>
      <c r="B67" s="10">
        <v>8.02</v>
      </c>
      <c r="C67" s="10">
        <v>8.35</v>
      </c>
      <c r="D67" s="10">
        <v>8.01</v>
      </c>
      <c r="E67" s="10"/>
      <c r="F67" s="10"/>
      <c r="G67" s="10">
        <v>215.9</v>
      </c>
      <c r="H67" s="10">
        <v>215.1</v>
      </c>
      <c r="I67" s="10">
        <v>216.85</v>
      </c>
      <c r="J67" s="10"/>
      <c r="K67">
        <f t="shared" si="0"/>
        <v>215.95000000000002</v>
      </c>
      <c r="L67">
        <f t="shared" si="1"/>
        <v>219.1</v>
      </c>
      <c r="M67">
        <f t="shared" si="11"/>
        <v>1.5749999999999886</v>
      </c>
      <c r="N67">
        <f t="shared" si="12"/>
        <v>9.9250000000000114</v>
      </c>
      <c r="O67">
        <f t="shared" si="13"/>
        <v>8.4250000000000114</v>
      </c>
    </row>
    <row r="68" spans="1:15" ht="15" thickBot="1" x14ac:dyDescent="0.35">
      <c r="A68" s="9">
        <v>4</v>
      </c>
      <c r="B68" s="10">
        <v>7.97</v>
      </c>
      <c r="C68" s="10">
        <v>8.06</v>
      </c>
      <c r="D68" s="10">
        <v>8.1199999999999992</v>
      </c>
      <c r="E68" s="10"/>
      <c r="F68" s="10"/>
      <c r="G68" s="10">
        <v>216.9</v>
      </c>
      <c r="H68" s="10">
        <v>216.9</v>
      </c>
      <c r="I68" s="10">
        <v>217.75</v>
      </c>
      <c r="J68" s="10"/>
      <c r="K68">
        <f t="shared" ref="K68:K91" si="14">AVERAGE(G68:J68)</f>
        <v>217.18333333333331</v>
      </c>
      <c r="L68">
        <f t="shared" ref="L68:L91" si="15">219.1</f>
        <v>219.1</v>
      </c>
      <c r="M68">
        <f t="shared" si="11"/>
        <v>0.95833333333334281</v>
      </c>
      <c r="N68">
        <f t="shared" si="12"/>
        <v>10.541666666666657</v>
      </c>
      <c r="O68">
        <f t="shared" si="13"/>
        <v>9.0416666666666572</v>
      </c>
    </row>
    <row r="69" spans="1:15" ht="15" thickBot="1" x14ac:dyDescent="0.35">
      <c r="A69" s="9">
        <v>5</v>
      </c>
      <c r="B69" s="10">
        <v>8.39</v>
      </c>
      <c r="C69" s="10">
        <v>8.42</v>
      </c>
      <c r="D69" s="10">
        <v>8.5299999999999994</v>
      </c>
      <c r="E69" s="10"/>
      <c r="F69" s="10"/>
      <c r="G69" s="10">
        <v>217.6</v>
      </c>
      <c r="H69" s="10">
        <v>217.9</v>
      </c>
      <c r="I69" s="10">
        <v>218.05</v>
      </c>
      <c r="J69" s="10"/>
      <c r="K69">
        <f t="shared" si="14"/>
        <v>217.85</v>
      </c>
      <c r="L69">
        <f t="shared" si="15"/>
        <v>219.1</v>
      </c>
      <c r="M69">
        <f t="shared" si="11"/>
        <v>0.625</v>
      </c>
      <c r="N69">
        <f t="shared" si="12"/>
        <v>10.875</v>
      </c>
      <c r="O69">
        <f t="shared" si="13"/>
        <v>9.375</v>
      </c>
    </row>
    <row r="70" spans="1:15" ht="15" thickBot="1" x14ac:dyDescent="0.35">
      <c r="A70" s="9">
        <v>6</v>
      </c>
      <c r="B70" s="10">
        <v>8.15</v>
      </c>
      <c r="C70" s="10">
        <v>8.1199999999999992</v>
      </c>
      <c r="D70" s="10">
        <v>9.5399999999999991</v>
      </c>
      <c r="E70" s="10"/>
      <c r="F70" s="10"/>
      <c r="G70" s="10">
        <v>217.2</v>
      </c>
      <c r="H70" s="10">
        <v>217.3</v>
      </c>
      <c r="I70" s="10">
        <v>217.9</v>
      </c>
      <c r="J70" s="10"/>
      <c r="K70">
        <f t="shared" si="14"/>
        <v>217.46666666666667</v>
      </c>
      <c r="L70">
        <f t="shared" si="15"/>
        <v>219.1</v>
      </c>
      <c r="M70">
        <f t="shared" si="11"/>
        <v>0.81666666666666288</v>
      </c>
      <c r="N70">
        <f t="shared" si="12"/>
        <v>10.683333333333337</v>
      </c>
      <c r="O70">
        <f t="shared" si="13"/>
        <v>9.1833333333333371</v>
      </c>
    </row>
    <row r="71" spans="1:15" ht="15" thickBot="1" x14ac:dyDescent="0.35">
      <c r="A71" s="9">
        <v>7</v>
      </c>
      <c r="B71" s="10">
        <v>12.43</v>
      </c>
      <c r="C71" s="10">
        <v>8.8000000000000007</v>
      </c>
      <c r="D71" s="10">
        <v>10.84</v>
      </c>
      <c r="E71" s="10"/>
      <c r="F71" s="10"/>
      <c r="G71" s="10">
        <v>216.4</v>
      </c>
      <c r="H71" s="10">
        <v>216.4</v>
      </c>
      <c r="I71" s="10">
        <v>216.5</v>
      </c>
      <c r="J71" s="10">
        <v>217.5</v>
      </c>
      <c r="K71">
        <f t="shared" si="14"/>
        <v>216.7</v>
      </c>
      <c r="L71">
        <f t="shared" si="15"/>
        <v>219.1</v>
      </c>
      <c r="M71">
        <f t="shared" si="11"/>
        <v>1.2000000000000028</v>
      </c>
      <c r="N71">
        <f t="shared" si="12"/>
        <v>10.299999999999997</v>
      </c>
      <c r="O71">
        <f t="shared" si="13"/>
        <v>8.7999999999999972</v>
      </c>
    </row>
    <row r="72" spans="1:15" ht="15" thickBot="1" x14ac:dyDescent="0.35">
      <c r="A72" s="9">
        <v>8</v>
      </c>
      <c r="B72" s="10">
        <v>8.65</v>
      </c>
      <c r="C72" s="10">
        <v>8.7100000000000009</v>
      </c>
      <c r="D72" s="10">
        <v>8.64</v>
      </c>
      <c r="E72" s="10"/>
      <c r="F72" s="10"/>
      <c r="G72" s="10">
        <v>217.7</v>
      </c>
      <c r="H72" s="10">
        <v>217.9</v>
      </c>
      <c r="I72" s="10">
        <v>217.4</v>
      </c>
      <c r="J72" s="10">
        <v>218</v>
      </c>
      <c r="K72">
        <f t="shared" si="14"/>
        <v>217.75</v>
      </c>
      <c r="L72">
        <f t="shared" si="15"/>
        <v>219.1</v>
      </c>
      <c r="M72">
        <f t="shared" si="11"/>
        <v>0.67499999999999716</v>
      </c>
      <c r="N72">
        <f t="shared" si="12"/>
        <v>10.825000000000003</v>
      </c>
      <c r="O72">
        <f t="shared" si="13"/>
        <v>9.3250000000000028</v>
      </c>
    </row>
    <row r="73" spans="1:15" ht="15" thickBot="1" x14ac:dyDescent="0.35">
      <c r="A73" s="9">
        <v>9</v>
      </c>
      <c r="B73" s="10">
        <v>8.17</v>
      </c>
      <c r="C73" s="10">
        <v>8.35</v>
      </c>
      <c r="D73" s="10">
        <v>8.41</v>
      </c>
      <c r="E73" s="10"/>
      <c r="F73" s="10"/>
      <c r="G73" s="10">
        <v>216.9</v>
      </c>
      <c r="H73" s="10">
        <v>216.9</v>
      </c>
      <c r="I73" s="10">
        <v>216.75</v>
      </c>
      <c r="J73" s="10"/>
      <c r="K73">
        <f t="shared" si="14"/>
        <v>216.85</v>
      </c>
      <c r="L73">
        <f t="shared" si="15"/>
        <v>219.1</v>
      </c>
      <c r="M73">
        <f t="shared" si="11"/>
        <v>1.125</v>
      </c>
      <c r="N73">
        <f t="shared" si="12"/>
        <v>10.375</v>
      </c>
      <c r="O73">
        <f t="shared" si="13"/>
        <v>8.875</v>
      </c>
    </row>
    <row r="74" spans="1:15" ht="15" thickBot="1" x14ac:dyDescent="0.35">
      <c r="A74" s="9">
        <v>10</v>
      </c>
      <c r="B74" s="10">
        <v>8.52</v>
      </c>
      <c r="C74" s="10">
        <v>8.2899999999999991</v>
      </c>
      <c r="D74" s="10">
        <v>8.65</v>
      </c>
      <c r="E74" s="10">
        <v>9</v>
      </c>
      <c r="F74" s="10"/>
      <c r="G74" s="10">
        <v>215.4</v>
      </c>
      <c r="H74" s="10">
        <v>216.2</v>
      </c>
      <c r="I74" s="10">
        <v>217</v>
      </c>
      <c r="J74" s="10"/>
      <c r="K74">
        <f t="shared" si="14"/>
        <v>216.20000000000002</v>
      </c>
      <c r="L74">
        <f t="shared" si="15"/>
        <v>219.1</v>
      </c>
      <c r="M74">
        <f t="shared" si="11"/>
        <v>1.4499999999999886</v>
      </c>
      <c r="N74">
        <f t="shared" si="12"/>
        <v>10.050000000000011</v>
      </c>
      <c r="O74">
        <f t="shared" si="13"/>
        <v>8.5500000000000114</v>
      </c>
    </row>
    <row r="75" spans="1:15" ht="15" thickBot="1" x14ac:dyDescent="0.35">
      <c r="A75" s="9">
        <v>11</v>
      </c>
      <c r="B75" s="10">
        <v>8.36</v>
      </c>
      <c r="C75" s="10">
        <v>8.75</v>
      </c>
      <c r="D75" s="10">
        <v>8.65</v>
      </c>
      <c r="E75" s="10"/>
      <c r="F75" s="10"/>
      <c r="G75" s="10">
        <v>215.6</v>
      </c>
      <c r="H75" s="10">
        <v>215.3</v>
      </c>
      <c r="I75" s="10">
        <v>215.8</v>
      </c>
      <c r="J75" s="10">
        <v>216.45</v>
      </c>
      <c r="K75">
        <f t="shared" si="14"/>
        <v>215.78750000000002</v>
      </c>
      <c r="L75">
        <f t="shared" si="15"/>
        <v>219.1</v>
      </c>
      <c r="M75">
        <f t="shared" si="11"/>
        <v>1.6562499999999858</v>
      </c>
      <c r="N75">
        <f t="shared" si="12"/>
        <v>9.8437500000000142</v>
      </c>
      <c r="O75">
        <f t="shared" si="13"/>
        <v>8.3437500000000142</v>
      </c>
    </row>
    <row r="76" spans="1:15" ht="15" thickBot="1" x14ac:dyDescent="0.35">
      <c r="A76" s="9">
        <v>12</v>
      </c>
      <c r="B76" s="10">
        <v>7.94</v>
      </c>
      <c r="C76" s="10">
        <v>8.02</v>
      </c>
      <c r="D76" s="10">
        <v>8.0500000000000007</v>
      </c>
      <c r="E76" s="10">
        <v>7.94</v>
      </c>
      <c r="F76" s="10"/>
      <c r="G76" s="10">
        <v>216.1</v>
      </c>
      <c r="H76" s="10">
        <v>215.3</v>
      </c>
      <c r="I76" s="10">
        <v>215.7</v>
      </c>
      <c r="J76" s="10">
        <v>216.95</v>
      </c>
      <c r="K76">
        <f t="shared" si="14"/>
        <v>216.01249999999999</v>
      </c>
      <c r="L76">
        <f t="shared" si="15"/>
        <v>219.1</v>
      </c>
      <c r="M76">
        <f t="shared" si="11"/>
        <v>1.5437500000000028</v>
      </c>
      <c r="N76">
        <f t="shared" si="12"/>
        <v>9.9562499999999972</v>
      </c>
      <c r="O76">
        <f t="shared" si="13"/>
        <v>8.4562499999999972</v>
      </c>
    </row>
    <row r="77" spans="1:15" ht="15" thickBot="1" x14ac:dyDescent="0.35">
      <c r="A77" s="9">
        <v>13</v>
      </c>
      <c r="B77" s="10">
        <v>8.59</v>
      </c>
      <c r="C77" s="10">
        <v>8.6999999999999993</v>
      </c>
      <c r="D77" s="10">
        <v>8.59</v>
      </c>
      <c r="E77" s="10"/>
      <c r="F77" s="10"/>
      <c r="G77" s="10">
        <v>216.3</v>
      </c>
      <c r="H77" s="10">
        <v>217.3</v>
      </c>
      <c r="I77" s="10">
        <v>217.8</v>
      </c>
      <c r="J77" s="10">
        <v>217.45</v>
      </c>
      <c r="K77">
        <f t="shared" si="14"/>
        <v>217.21250000000003</v>
      </c>
      <c r="L77">
        <f t="shared" si="15"/>
        <v>219.1</v>
      </c>
      <c r="M77">
        <f t="shared" si="11"/>
        <v>0.9437499999999801</v>
      </c>
      <c r="N77">
        <f t="shared" si="12"/>
        <v>10.55625000000002</v>
      </c>
      <c r="O77">
        <f t="shared" si="13"/>
        <v>9.0562500000000199</v>
      </c>
    </row>
    <row r="78" spans="1:15" ht="15" thickBot="1" x14ac:dyDescent="0.35">
      <c r="A78" s="31">
        <v>14</v>
      </c>
      <c r="B78" s="10"/>
      <c r="C78" s="10"/>
      <c r="D78" s="10"/>
      <c r="E78" s="10"/>
      <c r="F78" s="10"/>
      <c r="G78" s="10"/>
      <c r="H78" s="10"/>
      <c r="I78" s="10"/>
      <c r="J78" s="10"/>
      <c r="N78">
        <v>0</v>
      </c>
      <c r="O78">
        <v>0</v>
      </c>
    </row>
    <row r="79" spans="1:15" ht="15" thickBot="1" x14ac:dyDescent="0.35">
      <c r="A79" s="9">
        <v>15</v>
      </c>
      <c r="B79" s="10">
        <v>8.1199999999999992</v>
      </c>
      <c r="C79" s="10">
        <v>8.41</v>
      </c>
      <c r="D79" s="10">
        <v>8.4</v>
      </c>
      <c r="E79" s="10"/>
      <c r="F79" s="10"/>
      <c r="G79" s="10">
        <v>216.9</v>
      </c>
      <c r="H79" s="10">
        <v>216.9</v>
      </c>
      <c r="I79" s="10">
        <v>216.75</v>
      </c>
      <c r="J79" s="10"/>
      <c r="K79">
        <f t="shared" si="14"/>
        <v>216.85</v>
      </c>
      <c r="L79">
        <f t="shared" si="15"/>
        <v>219.1</v>
      </c>
      <c r="M79">
        <f t="shared" si="11"/>
        <v>1.125</v>
      </c>
      <c r="N79">
        <f t="shared" si="12"/>
        <v>10.375</v>
      </c>
      <c r="O79">
        <f t="shared" si="13"/>
        <v>8.875</v>
      </c>
    </row>
    <row r="80" spans="1:15" ht="15" thickBot="1" x14ac:dyDescent="0.35">
      <c r="A80" s="9">
        <v>16</v>
      </c>
      <c r="B80" s="10">
        <v>8.86</v>
      </c>
      <c r="C80" s="10">
        <v>7.45</v>
      </c>
      <c r="D80" s="10">
        <v>8.4</v>
      </c>
      <c r="E80" s="10"/>
      <c r="F80" s="10"/>
      <c r="G80" s="10">
        <v>216.9</v>
      </c>
      <c r="H80" s="10">
        <v>216.9</v>
      </c>
      <c r="I80" s="10">
        <v>216.75</v>
      </c>
      <c r="J80" s="10"/>
      <c r="K80">
        <f t="shared" si="14"/>
        <v>216.85</v>
      </c>
      <c r="L80">
        <f t="shared" si="15"/>
        <v>219.1</v>
      </c>
      <c r="M80">
        <f t="shared" si="11"/>
        <v>1.125</v>
      </c>
      <c r="N80">
        <f t="shared" si="12"/>
        <v>10.375</v>
      </c>
      <c r="O80">
        <f t="shared" si="13"/>
        <v>8.875</v>
      </c>
    </row>
    <row r="81" spans="1:15" ht="15" thickBot="1" x14ac:dyDescent="0.35">
      <c r="A81" s="9">
        <v>17</v>
      </c>
      <c r="B81" s="10">
        <v>8.24</v>
      </c>
      <c r="C81" s="10">
        <v>7.98</v>
      </c>
      <c r="D81" s="10">
        <v>8.4</v>
      </c>
      <c r="E81" s="10"/>
      <c r="F81" s="10"/>
      <c r="G81" s="10">
        <v>217.1</v>
      </c>
      <c r="H81" s="10">
        <v>216.2</v>
      </c>
      <c r="I81" s="10">
        <v>217.4</v>
      </c>
      <c r="J81" s="10"/>
      <c r="K81">
        <f t="shared" si="14"/>
        <v>216.89999999999998</v>
      </c>
      <c r="L81">
        <f t="shared" si="15"/>
        <v>219.1</v>
      </c>
      <c r="M81">
        <f t="shared" si="11"/>
        <v>1.1000000000000085</v>
      </c>
      <c r="N81">
        <f t="shared" si="12"/>
        <v>10.399999999999991</v>
      </c>
      <c r="O81">
        <f t="shared" si="13"/>
        <v>8.8999999999999915</v>
      </c>
    </row>
    <row r="82" spans="1:15" ht="15" thickBot="1" x14ac:dyDescent="0.35">
      <c r="A82" s="9">
        <v>18</v>
      </c>
      <c r="B82" s="10">
        <v>8.24</v>
      </c>
      <c r="C82" s="10">
        <v>8.65</v>
      </c>
      <c r="D82" s="10">
        <v>8.33</v>
      </c>
      <c r="E82" s="10">
        <v>9.1199999999999992</v>
      </c>
      <c r="F82" s="10">
        <v>9.11</v>
      </c>
      <c r="G82" s="10">
        <v>158.9</v>
      </c>
      <c r="H82" s="10">
        <v>156.4</v>
      </c>
      <c r="I82" s="10">
        <v>158.6</v>
      </c>
      <c r="J82" s="10">
        <v>157.5</v>
      </c>
      <c r="K82" s="30">
        <f t="shared" si="14"/>
        <v>157.85</v>
      </c>
      <c r="L82">
        <f>159.3</f>
        <v>159.30000000000001</v>
      </c>
      <c r="M82">
        <f t="shared" si="11"/>
        <v>0.72500000000000853</v>
      </c>
      <c r="N82">
        <f>10.5-M82</f>
        <v>9.7749999999999915</v>
      </c>
      <c r="O82">
        <f t="shared" si="13"/>
        <v>8.2749999999999915</v>
      </c>
    </row>
    <row r="83" spans="1:15" ht="15" thickBot="1" x14ac:dyDescent="0.35">
      <c r="A83" s="9">
        <v>19</v>
      </c>
      <c r="B83" s="10">
        <v>8.93</v>
      </c>
      <c r="C83" s="10">
        <v>8.0399999999999991</v>
      </c>
      <c r="D83" s="10">
        <v>8.7100000000000009</v>
      </c>
      <c r="E83" s="10"/>
      <c r="F83" s="10"/>
      <c r="G83" s="10">
        <v>218.5</v>
      </c>
      <c r="H83" s="10"/>
      <c r="I83" s="10"/>
      <c r="J83" s="10"/>
      <c r="K83">
        <f t="shared" si="14"/>
        <v>218.5</v>
      </c>
      <c r="L83">
        <f t="shared" si="15"/>
        <v>219.1</v>
      </c>
      <c r="M83">
        <f t="shared" si="11"/>
        <v>0.29999999999999716</v>
      </c>
      <c r="N83">
        <f t="shared" si="12"/>
        <v>11.200000000000003</v>
      </c>
      <c r="O83">
        <f t="shared" si="13"/>
        <v>9.7000000000000028</v>
      </c>
    </row>
    <row r="84" spans="1:15" ht="15" thickBot="1" x14ac:dyDescent="0.35">
      <c r="A84" s="9">
        <v>20</v>
      </c>
      <c r="B84" s="10">
        <v>8.24</v>
      </c>
      <c r="C84" s="10">
        <v>8.16</v>
      </c>
      <c r="D84" s="10">
        <v>7.94</v>
      </c>
      <c r="E84" s="10"/>
      <c r="F84" s="10"/>
      <c r="G84" s="10">
        <v>217.5</v>
      </c>
      <c r="H84" s="10">
        <v>217.2</v>
      </c>
      <c r="I84" s="10"/>
      <c r="J84" s="10"/>
      <c r="K84">
        <f t="shared" si="14"/>
        <v>217.35</v>
      </c>
      <c r="L84">
        <f t="shared" si="15"/>
        <v>219.1</v>
      </c>
      <c r="M84">
        <f t="shared" si="11"/>
        <v>0.875</v>
      </c>
      <c r="N84">
        <f t="shared" si="12"/>
        <v>10.625</v>
      </c>
      <c r="O84">
        <f t="shared" si="13"/>
        <v>9.125</v>
      </c>
    </row>
    <row r="85" spans="1:15" ht="15" thickBot="1" x14ac:dyDescent="0.35">
      <c r="A85" s="9">
        <v>21</v>
      </c>
      <c r="B85" s="10">
        <v>8.1</v>
      </c>
      <c r="C85" s="10">
        <v>10.6</v>
      </c>
      <c r="D85" s="10">
        <v>8.4700000000000006</v>
      </c>
      <c r="E85" s="10"/>
      <c r="F85" s="10"/>
      <c r="G85" s="10">
        <v>153.9</v>
      </c>
      <c r="H85" s="10">
        <v>156.30000000000001</v>
      </c>
      <c r="I85" s="10"/>
      <c r="J85" s="10"/>
      <c r="K85" s="30">
        <f t="shared" si="14"/>
        <v>155.10000000000002</v>
      </c>
      <c r="L85">
        <f>159.3</f>
        <v>159.30000000000001</v>
      </c>
      <c r="M85">
        <f t="shared" si="11"/>
        <v>2.0999999999999943</v>
      </c>
      <c r="N85">
        <f>10.5-M85</f>
        <v>8.4000000000000057</v>
      </c>
      <c r="O85">
        <f t="shared" si="13"/>
        <v>6.9000000000000057</v>
      </c>
    </row>
    <row r="86" spans="1:15" ht="15" thickBot="1" x14ac:dyDescent="0.35">
      <c r="A86" s="9">
        <v>22</v>
      </c>
      <c r="B86" s="10">
        <v>9.65</v>
      </c>
      <c r="C86" s="10">
        <v>7.96</v>
      </c>
      <c r="D86" s="10">
        <v>9</v>
      </c>
      <c r="E86" s="10">
        <v>9.24</v>
      </c>
      <c r="F86" s="10"/>
      <c r="G86" s="10">
        <v>218.8</v>
      </c>
      <c r="H86" s="10">
        <v>218.3</v>
      </c>
      <c r="I86" s="10">
        <v>218</v>
      </c>
      <c r="J86" s="10"/>
      <c r="K86">
        <f t="shared" si="14"/>
        <v>218.36666666666667</v>
      </c>
      <c r="L86">
        <f t="shared" si="15"/>
        <v>219.1</v>
      </c>
      <c r="M86">
        <f t="shared" si="11"/>
        <v>0.36666666666666003</v>
      </c>
      <c r="N86">
        <f t="shared" si="12"/>
        <v>11.13333333333334</v>
      </c>
      <c r="O86">
        <f t="shared" si="13"/>
        <v>9.63333333333334</v>
      </c>
    </row>
    <row r="87" spans="1:15" ht="15" thickBot="1" x14ac:dyDescent="0.35">
      <c r="A87" s="9">
        <v>23</v>
      </c>
      <c r="B87" s="10">
        <v>8.82</v>
      </c>
      <c r="C87" s="10">
        <v>8.5299999999999994</v>
      </c>
      <c r="D87" s="10">
        <v>8.64</v>
      </c>
      <c r="E87" s="10">
        <v>8.59</v>
      </c>
      <c r="F87" s="10"/>
      <c r="G87" s="10">
        <v>217.8</v>
      </c>
      <c r="H87" s="10">
        <v>217</v>
      </c>
      <c r="I87" s="10">
        <v>216.3</v>
      </c>
      <c r="J87" s="10"/>
      <c r="K87">
        <f t="shared" si="14"/>
        <v>217.03333333333333</v>
      </c>
      <c r="L87">
        <f t="shared" si="15"/>
        <v>219.1</v>
      </c>
      <c r="M87">
        <f t="shared" si="11"/>
        <v>1.0333333333333314</v>
      </c>
      <c r="N87">
        <f t="shared" si="12"/>
        <v>10.466666666666669</v>
      </c>
      <c r="O87">
        <f t="shared" si="13"/>
        <v>8.9666666666666686</v>
      </c>
    </row>
    <row r="88" spans="1:15" ht="15" thickBot="1" x14ac:dyDescent="0.35">
      <c r="A88" s="9">
        <v>24</v>
      </c>
      <c r="B88" s="10">
        <v>8.64</v>
      </c>
      <c r="C88" s="10">
        <v>8.18</v>
      </c>
      <c r="D88" s="10">
        <v>8.14</v>
      </c>
      <c r="E88" s="10">
        <v>8.18</v>
      </c>
      <c r="F88" s="10"/>
      <c r="G88" s="10">
        <v>216.7</v>
      </c>
      <c r="H88" s="10">
        <v>216.8</v>
      </c>
      <c r="I88" s="10"/>
      <c r="J88" s="10"/>
      <c r="K88">
        <f t="shared" si="14"/>
        <v>216.75</v>
      </c>
      <c r="L88">
        <f t="shared" si="15"/>
        <v>219.1</v>
      </c>
      <c r="M88">
        <f t="shared" si="11"/>
        <v>1.1749999999999972</v>
      </c>
      <c r="N88">
        <f t="shared" si="12"/>
        <v>10.325000000000003</v>
      </c>
      <c r="O88">
        <f t="shared" si="13"/>
        <v>8.8250000000000028</v>
      </c>
    </row>
    <row r="89" spans="1:15" ht="15" thickBot="1" x14ac:dyDescent="0.35">
      <c r="A89" s="9">
        <v>25</v>
      </c>
      <c r="B89" s="10">
        <v>8.4600000000000009</v>
      </c>
      <c r="C89" s="10">
        <v>8.36</v>
      </c>
      <c r="D89" s="10">
        <v>8.4700000000000006</v>
      </c>
      <c r="E89" s="10">
        <v>8.64</v>
      </c>
      <c r="F89" s="10"/>
      <c r="G89" s="10">
        <v>218.9</v>
      </c>
      <c r="H89" s="10">
        <v>217.5</v>
      </c>
      <c r="I89" s="10">
        <v>218.1</v>
      </c>
      <c r="J89" s="10"/>
      <c r="K89">
        <f t="shared" si="14"/>
        <v>218.16666666666666</v>
      </c>
      <c r="L89">
        <f t="shared" si="15"/>
        <v>219.1</v>
      </c>
      <c r="M89">
        <f t="shared" si="11"/>
        <v>0.46666666666666856</v>
      </c>
      <c r="N89">
        <f t="shared" si="12"/>
        <v>11.033333333333331</v>
      </c>
      <c r="O89">
        <f t="shared" si="13"/>
        <v>9.5333333333333314</v>
      </c>
    </row>
    <row r="90" spans="1:15" ht="15" thickBot="1" x14ac:dyDescent="0.35">
      <c r="A90" s="9">
        <v>26</v>
      </c>
      <c r="B90" s="10">
        <v>8.35</v>
      </c>
      <c r="C90" s="10">
        <v>8.24</v>
      </c>
      <c r="D90" s="10">
        <v>8.23</v>
      </c>
      <c r="E90" s="10">
        <v>8.16</v>
      </c>
      <c r="F90" s="10"/>
      <c r="G90" s="10">
        <v>215.6</v>
      </c>
      <c r="H90" s="10">
        <v>216.6</v>
      </c>
      <c r="I90" s="10">
        <v>217</v>
      </c>
      <c r="J90" s="10"/>
      <c r="K90">
        <f t="shared" si="14"/>
        <v>216.4</v>
      </c>
      <c r="L90">
        <f t="shared" si="15"/>
        <v>219.1</v>
      </c>
      <c r="M90">
        <f t="shared" si="11"/>
        <v>1.3499999999999943</v>
      </c>
      <c r="N90">
        <f t="shared" si="12"/>
        <v>10.150000000000006</v>
      </c>
      <c r="O90">
        <f t="shared" si="13"/>
        <v>8.6500000000000057</v>
      </c>
    </row>
    <row r="91" spans="1:15" ht="15" thickBot="1" x14ac:dyDescent="0.35">
      <c r="A91" s="31">
        <v>27</v>
      </c>
      <c r="B91" s="10">
        <v>8.4700000000000006</v>
      </c>
      <c r="C91" s="10"/>
      <c r="D91" s="10"/>
      <c r="E91" s="10"/>
      <c r="F91" s="10"/>
      <c r="G91" s="10"/>
      <c r="H91" s="10"/>
      <c r="I91" s="10"/>
      <c r="J91" s="10"/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FE229-21AA-4C57-889D-280EBB929D6A}">
  <dimension ref="A1:B13"/>
  <sheetViews>
    <sheetView workbookViewId="0">
      <selection activeCell="D10" sqref="D10"/>
    </sheetView>
  </sheetViews>
  <sheetFormatPr baseColWidth="10" defaultRowHeight="14.4" x14ac:dyDescent="0.3"/>
  <sheetData>
    <row r="1" spans="1:2" x14ac:dyDescent="0.3">
      <c r="A1" t="s">
        <v>20</v>
      </c>
    </row>
    <row r="2" spans="1:2" x14ac:dyDescent="0.3">
      <c r="A2" s="7" t="s">
        <v>15</v>
      </c>
      <c r="B2" s="4" t="s">
        <v>19</v>
      </c>
    </row>
    <row r="3" spans="1:2" x14ac:dyDescent="0.3">
      <c r="A3" s="6" t="s">
        <v>16</v>
      </c>
      <c r="B3" s="2">
        <v>65</v>
      </c>
    </row>
    <row r="4" spans="1:2" x14ac:dyDescent="0.3">
      <c r="A4" s="6" t="s">
        <v>9</v>
      </c>
      <c r="B4" s="2">
        <v>14</v>
      </c>
    </row>
    <row r="5" spans="1:2" x14ac:dyDescent="0.3">
      <c r="A5" s="5" t="s">
        <v>10</v>
      </c>
      <c r="B5" s="3">
        <v>0</v>
      </c>
    </row>
    <row r="6" spans="1:2" x14ac:dyDescent="0.3">
      <c r="A6" s="5" t="s">
        <v>14</v>
      </c>
      <c r="B6" s="3">
        <v>0</v>
      </c>
    </row>
    <row r="8" spans="1:2" x14ac:dyDescent="0.3">
      <c r="A8" s="8" t="s">
        <v>21</v>
      </c>
    </row>
    <row r="9" spans="1:2" x14ac:dyDescent="0.3">
      <c r="A9" s="7" t="s">
        <v>15</v>
      </c>
      <c r="B9" s="4" t="s">
        <v>19</v>
      </c>
    </row>
    <row r="10" spans="1:2" x14ac:dyDescent="0.3">
      <c r="A10" s="6" t="s">
        <v>16</v>
      </c>
      <c r="B10" s="2">
        <v>65</v>
      </c>
    </row>
    <row r="11" spans="1:2" x14ac:dyDescent="0.3">
      <c r="A11" s="6" t="s">
        <v>9</v>
      </c>
      <c r="B11" s="2">
        <v>14</v>
      </c>
    </row>
    <row r="12" spans="1:2" x14ac:dyDescent="0.3">
      <c r="A12" s="5" t="s">
        <v>10</v>
      </c>
      <c r="B12" s="3">
        <v>0</v>
      </c>
    </row>
    <row r="13" spans="1:2" x14ac:dyDescent="0.3">
      <c r="A13" s="5" t="s">
        <v>14</v>
      </c>
      <c r="B13" s="3">
        <v>0</v>
      </c>
    </row>
  </sheetData>
  <autoFilter ref="A9:B13" xr:uid="{D3DFE229-21AA-4C57-889D-280EBB929D6A}">
    <sortState xmlns:xlrd2="http://schemas.microsoft.com/office/spreadsheetml/2017/richdata2" ref="A10:B13">
      <sortCondition descending="1" ref="B10:B13"/>
    </sortState>
  </autoFilter>
  <sortState xmlns:xlrd2="http://schemas.microsoft.com/office/spreadsheetml/2017/richdata2" ref="A10:B13">
    <sortCondition descending="1" ref="B10:B13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SECADORES</vt:lpstr>
      <vt:lpstr>Hoja1</vt:lpstr>
      <vt:lpstr>Hoja2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2025-08-05T21:21:13Z</dcterms:created>
  <dcterms:modified xsi:type="dcterms:W3CDTF">2026-08-21T04:46:25Z</dcterms:modified>
</cp:coreProperties>
</file>